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4200" windowHeight="20020" tabRatio="600" firstSheet="0" activeTab="3" autoFilterDateGrouping="1"/>
  </bookViews>
  <sheets>
    <sheet name="Dashboard" sheetId="1" state="visible" r:id="rId1"/>
    <sheet name="Intructions" sheetId="2" state="visible" r:id="rId2"/>
    <sheet name="2024-Times" sheetId="3" state="visible" r:id="rId3"/>
    <sheet name="2025-Times" sheetId="4" state="visible" r:id="rId4"/>
    <sheet name="2026-Times" sheetId="5" state="visible" r:id="rId5"/>
    <sheet name="2027-Times" sheetId="6" state="visible" r:id="rId6"/>
    <sheet name="County Times 2026" sheetId="7" state="visible" r:id="rId7"/>
    <sheet name="Regional Times 2026" sheetId="8" state="visible" r:id="rId8"/>
    <sheet name="Meet Planner" sheetId="9" state="visible" r:id="rId9"/>
  </sheets>
  <definedNames>
    <definedName name="_xlnm._FilterDatabase" localSheetId="2" hidden="1">'2024-Times'!$A$3:$AA$29</definedName>
    <definedName name="_xlnm._FilterDatabase" localSheetId="3" hidden="1">'2025-Times'!$A$3:$AR$37</definedName>
    <definedName name="_xlnm._FilterDatabase" localSheetId="4" hidden="1">'2026-Times'!$A$3:$AW$37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6">
    <numFmt numFmtId="164" formatCode="[m]\.ss.00"/>
    <numFmt numFmtId="165" formatCode="[m]:ss.00\ \ \ \ \ \ \ \ \ \ \ \ \ \ \ \ \ \ \ \ \ \ \ \ \ \ \ \ \ \ \ \ \ \ \ \ \ \ \ \ \ \ \ "/>
    <numFmt numFmtId="166" formatCode="_(* #,##0_);_(* \(#,##0\);_(* &quot;-&quot;??_);_(@_)"/>
    <numFmt numFmtId="167" formatCode="mm:ss.00"/>
    <numFmt numFmtId="168" formatCode="m:ss.00"/>
    <numFmt numFmtId="169" formatCode="[mm]:ss.00"/>
  </numFmts>
  <fonts count="4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rgb="FF000000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ptos Narrow"/>
      <family val="2"/>
      <strike val="1"/>
      <color theme="1"/>
      <sz val="12"/>
      <scheme val="minor"/>
    </font>
    <font>
      <name val="Aptos Narrow"/>
      <family val="2"/>
      <strike val="1"/>
      <color rgb="FFFF0000"/>
      <sz val="12"/>
      <scheme val="minor"/>
    </font>
    <font>
      <name val="Aptos Narrow"/>
      <b val="1"/>
      <color rgb="FF1F4E79"/>
      <sz val="11"/>
    </font>
    <font>
      <name val="Aptos Narrow"/>
      <b val="1"/>
      <color rgb="FFFFFFFF"/>
      <sz val="9"/>
    </font>
    <font>
      <name val="Aptos Narrow"/>
      <b val="1"/>
      <sz val="8"/>
    </font>
    <font>
      <name val="Aptos Narrow"/>
      <b val="1"/>
      <sz val="9"/>
    </font>
    <font>
      <name val="Aptos Narrow"/>
      <sz val="9"/>
    </font>
    <font>
      <name val="Aptos Narrow"/>
      <b val="1"/>
      <color rgb="FF1F4E79"/>
      <sz val="9"/>
    </font>
    <font>
      <name val="Aptos Narrow (Body)"/>
      <b val="1"/>
      <color theme="1"/>
      <sz val="12"/>
    </font>
    <font>
      <name val="Aptos Narrow (Body)"/>
      <b val="1"/>
      <color rgb="FF1F4E79"/>
      <sz val="12"/>
    </font>
    <font>
      <name val="Aptos Narrow (Body)"/>
      <b val="1"/>
      <color rgb="FFFFFFFF"/>
      <sz val="12"/>
    </font>
    <font>
      <name val="Aptos Narrow (Body)"/>
      <sz val="12"/>
    </font>
    <font>
      <b val="1"/>
      <color rgb="001F4E79"/>
      <sz val="14"/>
    </font>
    <font>
      <b val="1"/>
      <color rgb="0027AE60"/>
      <sz val="9"/>
    </font>
    <font>
      <b val="1"/>
      <color rgb="0027AE60"/>
      <sz val="20"/>
    </font>
    <font>
      <b val="1"/>
      <color rgb="00F39C12"/>
      <sz val="9"/>
    </font>
    <font>
      <b val="1"/>
      <color rgb="00F39C12"/>
      <sz val="20"/>
    </font>
    <font>
      <b val="1"/>
      <color rgb="002980B9"/>
      <sz val="9"/>
    </font>
    <font>
      <b val="1"/>
      <color rgb="002980B9"/>
      <sz val="20"/>
    </font>
    <font>
      <b val="1"/>
      <color rgb="008E44AD"/>
      <sz val="9"/>
    </font>
    <font>
      <b val="1"/>
      <color rgb="008E44AD"/>
      <sz val="20"/>
    </font>
    <font>
      <b val="1"/>
      <color rgb="0095A5A6"/>
      <sz val="9"/>
    </font>
    <font>
      <b val="1"/>
      <color rgb="0095A5A6"/>
      <sz val="20"/>
    </font>
    <font>
      <b val="1"/>
      <color rgb="002C3E50"/>
      <sz val="9"/>
    </font>
    <font>
      <b val="1"/>
      <color rgb="002C3E50"/>
      <sz val="20"/>
    </font>
    <font>
      <b val="1"/>
      <color rgb="00FFFFFF"/>
      <sz val="9"/>
    </font>
    <font>
      <b val="1"/>
      <sz val="9"/>
    </font>
    <font>
      <sz val="9"/>
    </font>
    <font>
      <color rgb="00999999"/>
      <sz val="9"/>
    </font>
    <font>
      <b val="1"/>
      <color rgb="001F4E79"/>
      <sz val="12"/>
    </font>
    <font>
      <i val="1"/>
      <color rgb="00666666"/>
      <sz val="9"/>
    </font>
    <font>
      <i val="1"/>
      <color rgb="00999999"/>
      <sz val="9"/>
    </font>
    <font>
      <b val="1"/>
      <color rgb="001F4E79"/>
      <sz val="11"/>
    </font>
    <font>
      <b val="1"/>
      <color rgb="00C0392B"/>
      <sz val="9"/>
    </font>
    <font>
      <b val="1"/>
      <color rgb="00999999"/>
      <sz val="9"/>
    </font>
    <font>
      <color rgb="00333333"/>
      <sz val="9"/>
    </font>
    <font>
      <b val="1"/>
    </font>
  </fonts>
  <fills count="3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2F2B9"/>
        <bgColor indexed="64"/>
      </patternFill>
    </fill>
    <fill>
      <patternFill patternType="solid">
        <fgColor rgb="FFCBEDFB"/>
        <bgColor indexed="64"/>
      </patternFill>
    </fill>
    <fill>
      <patternFill patternType="solid">
        <fgColor rgb="FFF2F2B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5F5F5"/>
      </patternFill>
    </fill>
    <fill>
      <patternFill patternType="solid">
        <fgColor rgb="FF1F4E79"/>
      </patternFill>
    </fill>
    <fill>
      <patternFill patternType="solid">
        <fgColor rgb="001F4E79"/>
      </patternFill>
    </fill>
    <fill>
      <patternFill patternType="solid">
        <fgColor rgb="00FDEDEC"/>
      </patternFill>
    </fill>
    <fill>
      <patternFill patternType="solid">
        <fgColor rgb="00EEEEEE"/>
      </patternFill>
    </fill>
    <fill>
      <patternFill patternType="solid">
        <fgColor rgb="00FEF9E7"/>
      </patternFill>
    </fill>
    <fill>
      <patternFill patternType="solid">
        <fgColor rgb="00F39C12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E74C3C"/>
      </patternFill>
    </fill>
    <fill>
      <patternFill patternType="solid">
        <fgColor rgb="FFCBEDFB"/>
      </patternFill>
    </fill>
    <fill>
      <patternFill patternType="solid">
        <fgColor rgb="00DDEEFF"/>
      </patternFill>
    </fill>
    <fill>
      <patternFill patternType="solid">
        <fgColor rgb="00DDFFD9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theme="7" tint="0.7999816888943144"/>
      </top>
      <bottom style="hair">
        <color theme="7" tint="0.7999816888943144"/>
      </bottom>
      <diagonal/>
    </border>
    <border>
      <left style="thin">
        <color indexed="64"/>
      </left>
      <right style="thin">
        <color indexed="64"/>
      </right>
      <top style="hair">
        <color theme="7" tint="0.7999816888943144"/>
      </top>
      <bottom style="hair">
        <color theme="7" tint="0.7999816888943144"/>
      </bottom>
      <diagonal/>
    </border>
    <border>
      <left style="thin">
        <color indexed="64"/>
      </left>
      <right style="medium">
        <color indexed="64"/>
      </right>
      <top style="hair">
        <color theme="7" tint="0.7999816888943144"/>
      </top>
      <bottom style="hair">
        <color theme="7" tint="0.799981688894314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theme="7" tint="0.799981688894314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theme="7" tint="0.799981688894314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theme="7" tint="0.7999816888943144"/>
      </bottom>
      <diagonal/>
    </border>
    <border>
      <left style="medium">
        <color indexed="64"/>
      </left>
      <right style="thin">
        <color indexed="64"/>
      </right>
      <top style="hair">
        <color theme="7" tint="0.799981688894314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7" tint="0.799981688894314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theme="7" tint="0.799981688894314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theme="7" tint="0.7999816888943144"/>
      </bottom>
      <diagonal/>
    </border>
    <border>
      <left/>
      <right style="thin">
        <color indexed="64"/>
      </right>
      <top style="hair">
        <color theme="7" tint="0.7999816888943144"/>
      </top>
      <bottom style="hair">
        <color theme="7" tint="0.7999816888943144"/>
      </bottom>
      <diagonal/>
    </border>
    <border>
      <left/>
      <right style="thin">
        <color indexed="64"/>
      </right>
      <top style="hair">
        <color theme="7" tint="0.799981688894314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theme="7" tint="0.7999816888943144"/>
      </bottom>
      <diagonal/>
    </border>
    <border>
      <left style="thin">
        <color indexed="64"/>
      </left>
      <right/>
      <top style="hair">
        <color theme="7" tint="0.7999816888943144"/>
      </top>
      <bottom style="hair">
        <color theme="7" tint="0.7999816888943144"/>
      </bottom>
      <diagonal/>
    </border>
    <border>
      <left style="thin">
        <color indexed="64"/>
      </left>
      <right/>
      <top style="hair">
        <color theme="7" tint="0.7999816888943144"/>
      </top>
      <bottom style="medium">
        <color indexed="64"/>
      </bottom>
      <diagonal/>
    </border>
    <border>
      <left style="thin">
        <color indexed="64"/>
      </left>
      <right/>
      <top style="hair">
        <color rgb="FFCAEDFB"/>
      </top>
      <bottom style="hair">
        <color rgb="FFCAEDFB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theme="7" tint="0.7999816888943144"/>
      </bottom>
      <diagonal/>
    </border>
    <border>
      <left/>
      <right/>
      <top style="hair">
        <color theme="7" tint="0.7999816888943144"/>
      </top>
      <bottom style="hair">
        <color theme="7" tint="0.7999816888943144"/>
      </bottom>
      <diagonal/>
    </border>
    <border>
      <left/>
      <right/>
      <top style="hair">
        <color theme="7" tint="0.799981688894314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theme="7" tint="0.7999816888943144"/>
      </top>
      <bottom/>
      <diagonal/>
    </border>
    <border>
      <left style="thin">
        <color indexed="64"/>
      </left>
      <right style="thin">
        <color indexed="64"/>
      </right>
      <top style="hair">
        <color theme="7" tint="0.7999816888943144"/>
      </top>
      <bottom/>
      <diagonal/>
    </border>
    <border>
      <left style="thin">
        <color indexed="64"/>
      </left>
      <right/>
      <top style="hair">
        <color theme="7" tint="0.7999816888943144"/>
      </top>
      <bottom/>
      <diagonal/>
    </border>
    <border>
      <left style="thin">
        <color indexed="64"/>
      </left>
      <right style="medium">
        <color indexed="64"/>
      </right>
      <top style="hair">
        <color theme="7" tint="0.7999816888943144"/>
      </top>
      <bottom/>
      <diagonal/>
    </border>
    <border>
      <left/>
      <right style="thin">
        <color indexed="64"/>
      </right>
      <top style="hair">
        <color theme="7" tint="0.7999816888943144"/>
      </top>
      <bottom/>
      <diagonal/>
    </border>
    <border>
      <left/>
      <right/>
      <top style="hair">
        <color theme="7" tint="0.7999816888943144"/>
      </top>
      <bottom/>
      <diagonal/>
    </border>
    <border>
      <left/>
      <right/>
      <top/>
      <bottom style="hair">
        <color theme="7" tint="0.7999816888943144"/>
      </bottom>
      <diagonal/>
    </border>
    <border>
      <left style="thin">
        <color indexed="64"/>
      </left>
      <right style="thin">
        <color indexed="64"/>
      </right>
      <top/>
      <bottom style="hair">
        <color theme="7" tint="0.7999816888943144"/>
      </bottom>
      <diagonal/>
    </border>
    <border>
      <left style="thin">
        <color indexed="64"/>
      </left>
      <right/>
      <top style="hair">
        <color rgb="FFCAEDFB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theme="7" tint="0.799981688894314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hair">
        <color theme="7" tint="0.7999816888943144"/>
      </bottom>
      <diagonal/>
    </border>
    <border>
      <left style="thin">
        <color indexed="64"/>
      </left>
      <right style="medium">
        <color indexed="64"/>
      </right>
      <top/>
      <bottom style="hair">
        <color theme="7" tint="0.799981688894314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43" fontId="3" fillId="0" borderId="0"/>
    <xf numFmtId="0" fontId="4" fillId="0" borderId="0"/>
  </cellStyleXfs>
  <cellXfs count="30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2" pivotButton="0" quotePrefix="0" xfId="0"/>
    <xf numFmtId="0" fontId="0" fillId="0" borderId="15" pivotButton="0" quotePrefix="0" xfId="0"/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1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164" fontId="1" fillId="3" borderId="4" applyAlignment="1" pivotButton="0" quotePrefix="0" xfId="0">
      <alignment horizontal="center" vertical="center"/>
    </xf>
    <xf numFmtId="165" fontId="1" fillId="3" borderId="5" applyAlignment="1" pivotButton="0" quotePrefix="0" xfId="0">
      <alignment horizontal="center" vertical="center"/>
    </xf>
    <xf numFmtId="165" fontId="1" fillId="3" borderId="7" applyAlignment="1" pivotButton="0" quotePrefix="0" xfId="0">
      <alignment horizontal="center" vertical="center"/>
    </xf>
    <xf numFmtId="164" fontId="0" fillId="3" borderId="11" pivotButton="0" quotePrefix="0" xfId="0"/>
    <xf numFmtId="165" fontId="0" fillId="3" borderId="12" applyAlignment="1" pivotButton="0" quotePrefix="0" xfId="0">
      <alignment horizontal="right"/>
    </xf>
    <xf numFmtId="164" fontId="0" fillId="3" borderId="8" pivotButton="0" quotePrefix="0" xfId="0"/>
    <xf numFmtId="165" fontId="0" fillId="3" borderId="9" applyAlignment="1" pivotButton="0" quotePrefix="0" xfId="0">
      <alignment horizontal="right"/>
    </xf>
    <xf numFmtId="164" fontId="0" fillId="3" borderId="8" applyAlignment="1" pivotButton="0" quotePrefix="0" xfId="0">
      <alignment horizontal="right"/>
    </xf>
    <xf numFmtId="164" fontId="0" fillId="3" borderId="14" pivotButton="0" quotePrefix="0" xfId="0"/>
    <xf numFmtId="165" fontId="0" fillId="3" borderId="15" applyAlignment="1" pivotButton="0" quotePrefix="0" xfId="0">
      <alignment horizontal="right"/>
    </xf>
    <xf numFmtId="164" fontId="1" fillId="4" borderId="4" applyAlignment="1" pivotButton="0" quotePrefix="0" xfId="0">
      <alignment horizontal="center" vertical="center"/>
    </xf>
    <xf numFmtId="165" fontId="1" fillId="4" borderId="5" applyAlignment="1" pivotButton="0" quotePrefix="0" xfId="0">
      <alignment horizontal="center" vertical="center"/>
    </xf>
    <xf numFmtId="165" fontId="1" fillId="4" borderId="7" applyAlignment="1" pivotButton="0" quotePrefix="0" xfId="0">
      <alignment horizontal="center" vertical="center"/>
    </xf>
    <xf numFmtId="164" fontId="0" fillId="4" borderId="11" pivotButton="0" quotePrefix="0" xfId="0"/>
    <xf numFmtId="164" fontId="0" fillId="4" borderId="12" applyAlignment="1" pivotButton="0" quotePrefix="0" xfId="0">
      <alignment horizontal="right"/>
    </xf>
    <xf numFmtId="164" fontId="0" fillId="4" borderId="8" pivotButton="0" quotePrefix="0" xfId="0"/>
    <xf numFmtId="164" fontId="0" fillId="4" borderId="9" applyAlignment="1" pivotButton="0" quotePrefix="0" xfId="0">
      <alignment horizontal="right"/>
    </xf>
    <xf numFmtId="165" fontId="0" fillId="4" borderId="9" applyAlignment="1" pivotButton="0" quotePrefix="0" xfId="0">
      <alignment horizontal="right"/>
    </xf>
    <xf numFmtId="164" fontId="0" fillId="4" borderId="8" applyAlignment="1" pivotButton="0" quotePrefix="0" xfId="0">
      <alignment horizontal="right"/>
    </xf>
    <xf numFmtId="164" fontId="0" fillId="4" borderId="14" pivotButton="0" quotePrefix="0" xfId="0"/>
    <xf numFmtId="165" fontId="0" fillId="4" borderId="15" applyAlignment="1" pivotButton="0" quotePrefix="0" xfId="0">
      <alignment horizontal="right"/>
    </xf>
    <xf numFmtId="164" fontId="0" fillId="5" borderId="17" applyAlignment="1" pivotButton="0" quotePrefix="0" xfId="0">
      <alignment horizontal="center"/>
    </xf>
    <xf numFmtId="164" fontId="0" fillId="5" borderId="18" applyAlignment="1" pivotButton="0" quotePrefix="0" xfId="0">
      <alignment horizontal="center"/>
    </xf>
    <xf numFmtId="0" fontId="0" fillId="5" borderId="18" applyAlignment="1" pivotButton="0" quotePrefix="0" xfId="0">
      <alignment horizontal="center"/>
    </xf>
    <xf numFmtId="164" fontId="0" fillId="5" borderId="19" applyAlignment="1" pivotButton="0" quotePrefix="0" xfId="0">
      <alignment horizontal="center"/>
    </xf>
    <xf numFmtId="164" fontId="1" fillId="4" borderId="5" applyAlignment="1" pivotButton="0" quotePrefix="0" xfId="0">
      <alignment horizontal="center" vertical="center"/>
    </xf>
    <xf numFmtId="14" fontId="1" fillId="4" borderId="6" applyAlignment="1" pivotButton="0" quotePrefix="0" xfId="0">
      <alignment horizontal="center" vertical="center"/>
    </xf>
    <xf numFmtId="14" fontId="0" fillId="4" borderId="20" applyAlignment="1" pivotButton="0" quotePrefix="0" xfId="0">
      <alignment horizontal="center"/>
    </xf>
    <xf numFmtId="14" fontId="0" fillId="4" borderId="21" applyAlignment="1" pivotButton="0" quotePrefix="0" xfId="0">
      <alignment horizontal="center"/>
    </xf>
    <xf numFmtId="164" fontId="0" fillId="4" borderId="15" applyAlignment="1" pivotButton="0" quotePrefix="0" xfId="0">
      <alignment horizontal="right"/>
    </xf>
    <xf numFmtId="14" fontId="0" fillId="4" borderId="22" applyAlignment="1" pivotButton="0" quotePrefix="0" xfId="0">
      <alignment horizontal="center"/>
    </xf>
    <xf numFmtId="1" fontId="0" fillId="4" borderId="20" applyAlignment="1" pivotButton="0" quotePrefix="0" xfId="0">
      <alignment horizontal="center"/>
    </xf>
    <xf numFmtId="1" fontId="0" fillId="4" borderId="21" applyAlignment="1" pivotButton="0" quotePrefix="0" xfId="0">
      <alignment horizontal="center"/>
    </xf>
    <xf numFmtId="1" fontId="0" fillId="4" borderId="22" applyAlignment="1" pivotButton="0" quotePrefix="0" xfId="0">
      <alignment horizontal="center"/>
    </xf>
    <xf numFmtId="1" fontId="0" fillId="3" borderId="13" applyAlignment="1" pivotButton="0" quotePrefix="0" xfId="0">
      <alignment horizontal="right"/>
    </xf>
    <xf numFmtId="1" fontId="0" fillId="3" borderId="10" applyAlignment="1" pivotButton="0" quotePrefix="0" xfId="0">
      <alignment horizontal="right"/>
    </xf>
    <xf numFmtId="1" fontId="0" fillId="3" borderId="16" applyAlignment="1" pivotButton="0" quotePrefix="0" xfId="0">
      <alignment horizontal="right"/>
    </xf>
    <xf numFmtId="1" fontId="0" fillId="4" borderId="13" applyAlignment="1" pivotButton="0" quotePrefix="0" xfId="0">
      <alignment horizontal="right"/>
    </xf>
    <xf numFmtId="1" fontId="0" fillId="4" borderId="10" applyAlignment="1" pivotButton="0" quotePrefix="0" xfId="0">
      <alignment horizontal="right"/>
    </xf>
    <xf numFmtId="1" fontId="0" fillId="4" borderId="16" applyAlignment="1" pivotButton="0" quotePrefix="0" xfId="0">
      <alignment horizontal="right"/>
    </xf>
    <xf numFmtId="164" fontId="1" fillId="5" borderId="3" applyAlignment="1" pivotButton="0" quotePrefix="0" xfId="0">
      <alignment horizontal="center" vertical="center" wrapText="1"/>
    </xf>
    <xf numFmtId="164" fontId="1" fillId="5" borderId="7" applyAlignment="1" pivotButton="0" quotePrefix="0" xfId="0">
      <alignment horizontal="center" vertical="center" wrapText="1"/>
    </xf>
    <xf numFmtId="1" fontId="2" fillId="6" borderId="23" applyAlignment="1" pivotButton="0" quotePrefix="0" xfId="0">
      <alignment horizontal="center"/>
    </xf>
    <xf numFmtId="164" fontId="1" fillId="5" borderId="28" applyAlignment="1" pivotButton="0" quotePrefix="0" xfId="0">
      <alignment horizontal="center" vertical="center" wrapText="1"/>
    </xf>
    <xf numFmtId="166" fontId="0" fillId="5" borderId="18" applyAlignment="1" pivotButton="0" quotePrefix="0" xfId="1">
      <alignment horizontal="center"/>
    </xf>
    <xf numFmtId="166" fontId="0" fillId="5" borderId="19" applyAlignment="1" pivotButton="0" quotePrefix="0" xfId="1">
      <alignment horizontal="center"/>
    </xf>
    <xf numFmtId="166" fontId="0" fillId="5" borderId="13" applyAlignment="1" pivotButton="0" quotePrefix="0" xfId="1">
      <alignment horizontal="center"/>
    </xf>
    <xf numFmtId="166" fontId="0" fillId="5" borderId="10" applyAlignment="1" pivotButton="0" quotePrefix="0" xfId="1">
      <alignment horizontal="center"/>
    </xf>
    <xf numFmtId="166" fontId="0" fillId="5" borderId="16" applyAlignment="1" pivotButton="0" quotePrefix="0" xfId="1">
      <alignment horizontal="center"/>
    </xf>
    <xf numFmtId="166" fontId="0" fillId="5" borderId="18" applyAlignment="1" pivotButton="0" quotePrefix="0" xfId="1">
      <alignment horizontal="left"/>
    </xf>
    <xf numFmtId="166" fontId="0" fillId="5" borderId="18" applyAlignment="1" pivotButton="0" quotePrefix="0" xfId="1">
      <alignment horizontal="right"/>
    </xf>
    <xf numFmtId="0" fontId="1" fillId="0" borderId="29" applyAlignment="1" pivotButton="0" quotePrefix="0" xfId="0">
      <alignment horizontal="center"/>
    </xf>
    <xf numFmtId="0" fontId="0" fillId="2" borderId="30" pivotButton="0" quotePrefix="0" xfId="0"/>
    <xf numFmtId="164" fontId="0" fillId="4" borderId="30" applyAlignment="1" pivotButton="0" quotePrefix="0" xfId="0">
      <alignment horizontal="right"/>
    </xf>
    <xf numFmtId="1" fontId="0" fillId="4" borderId="31" applyAlignment="1" pivotButton="0" quotePrefix="0" xfId="0">
      <alignment horizontal="center"/>
    </xf>
    <xf numFmtId="164" fontId="0" fillId="3" borderId="29" pivotButton="0" quotePrefix="0" xfId="0"/>
    <xf numFmtId="165" fontId="0" fillId="3" borderId="30" applyAlignment="1" pivotButton="0" quotePrefix="0" xfId="0">
      <alignment horizontal="right"/>
    </xf>
    <xf numFmtId="1" fontId="0" fillId="3" borderId="32" applyAlignment="1" pivotButton="0" quotePrefix="0" xfId="0">
      <alignment horizontal="right"/>
    </xf>
    <xf numFmtId="164" fontId="0" fillId="4" borderId="29" pivotButton="0" quotePrefix="0" xfId="0"/>
    <xf numFmtId="1" fontId="0" fillId="4" borderId="32" applyAlignment="1" pivotButton="0" quotePrefix="0" xfId="0">
      <alignment horizontal="right"/>
    </xf>
    <xf numFmtId="164" fontId="0" fillId="5" borderId="33" applyAlignment="1" pivotButton="0" quotePrefix="0" xfId="0">
      <alignment horizontal="center"/>
    </xf>
    <xf numFmtId="166" fontId="0" fillId="5" borderId="33" applyAlignment="1" pivotButton="0" quotePrefix="0" xfId="1">
      <alignment horizontal="right"/>
    </xf>
    <xf numFmtId="166" fontId="0" fillId="5" borderId="32" applyAlignment="1" pivotButton="0" quotePrefix="0" xfId="1">
      <alignment horizontal="center"/>
    </xf>
    <xf numFmtId="165" fontId="0" fillId="4" borderId="12" applyAlignment="1" pivotButton="0" quotePrefix="0" xfId="0">
      <alignment horizontal="right"/>
    </xf>
    <xf numFmtId="166" fontId="0" fillId="5" borderId="17" applyAlignment="1" pivotButton="0" quotePrefix="0" xfId="1">
      <alignment horizontal="center"/>
    </xf>
    <xf numFmtId="0" fontId="4" fillId="0" borderId="0" pivotButton="0" quotePrefix="0" xfId="2"/>
    <xf numFmtId="165" fontId="1" fillId="3" borderId="6" applyAlignment="1" pivotButton="0" quotePrefix="0" xfId="0">
      <alignment horizontal="center" vertical="center"/>
    </xf>
    <xf numFmtId="164" fontId="0" fillId="4" borderId="26" applyAlignment="1" pivotButton="0" quotePrefix="0" xfId="0">
      <alignment horizontal="right"/>
    </xf>
    <xf numFmtId="0" fontId="1" fillId="5" borderId="28" applyAlignment="1" pivotButton="0" quotePrefix="0" xfId="0">
      <alignment horizontal="center" vertical="center" wrapText="1"/>
    </xf>
    <xf numFmtId="0" fontId="0" fillId="5" borderId="17" applyAlignment="1" pivotButton="0" quotePrefix="0" xfId="0">
      <alignment horizontal="center"/>
    </xf>
    <xf numFmtId="0" fontId="0" fillId="5" borderId="33" applyAlignment="1" pivotButton="0" quotePrefix="0" xfId="0">
      <alignment horizontal="center"/>
    </xf>
    <xf numFmtId="0" fontId="0" fillId="5" borderId="19" applyAlignment="1" pivotButton="0" quotePrefix="0" xfId="0">
      <alignment horizontal="center"/>
    </xf>
    <xf numFmtId="165" fontId="0" fillId="7" borderId="12" applyAlignment="1" pivotButton="0" quotePrefix="0" xfId="0">
      <alignment horizontal="center"/>
    </xf>
    <xf numFmtId="165" fontId="0" fillId="7" borderId="9" applyAlignment="1" pivotButton="0" quotePrefix="0" xfId="0">
      <alignment horizontal="center"/>
    </xf>
    <xf numFmtId="165" fontId="0" fillId="7" borderId="30" applyAlignment="1" pivotButton="0" quotePrefix="0" xfId="0">
      <alignment horizontal="center"/>
    </xf>
    <xf numFmtId="165" fontId="0" fillId="7" borderId="15" applyAlignment="1" pivotButton="0" quotePrefix="0" xfId="0">
      <alignment horizontal="center"/>
    </xf>
    <xf numFmtId="0" fontId="1" fillId="0" borderId="0" applyAlignment="1" pivotButton="0" quotePrefix="0" xfId="0">
      <alignment vertical="center" wrapText="1"/>
    </xf>
    <xf numFmtId="166" fontId="0" fillId="5" borderId="25" applyAlignment="1" pivotButton="0" quotePrefix="0" xfId="1">
      <alignment horizontal="center"/>
    </xf>
    <xf numFmtId="166" fontId="0" fillId="5" borderId="26" applyAlignment="1" pivotButton="0" quotePrefix="0" xfId="1">
      <alignment horizontal="center"/>
    </xf>
    <xf numFmtId="166" fontId="0" fillId="5" borderId="27" applyAlignment="1" pivotButton="0" quotePrefix="0" xfId="1">
      <alignment horizontal="center"/>
    </xf>
    <xf numFmtId="166" fontId="0" fillId="5" borderId="33" applyAlignment="1" pivotButton="0" quotePrefix="0" xfId="1">
      <alignment horizontal="center"/>
    </xf>
    <xf numFmtId="164" fontId="0" fillId="0" borderId="0" applyAlignment="1" pivotButton="0" quotePrefix="0" xfId="0">
      <alignment horizontal="center"/>
    </xf>
    <xf numFmtId="166" fontId="0" fillId="5" borderId="35" applyAlignment="1" pivotButton="0" quotePrefix="0" xfId="1">
      <alignment horizontal="center"/>
    </xf>
    <xf numFmtId="166" fontId="0" fillId="5" borderId="34" applyAlignment="1" pivotButton="0" quotePrefix="0" xfId="1">
      <alignment horizontal="center"/>
    </xf>
    <xf numFmtId="166" fontId="0" fillId="5" borderId="36" applyAlignment="1" pivotButton="0" quotePrefix="0" xfId="1">
      <alignment horizontal="center"/>
    </xf>
    <xf numFmtId="166" fontId="0" fillId="5" borderId="9" applyAlignment="1" pivotButton="0" quotePrefix="0" xfId="1">
      <alignment horizontal="center"/>
    </xf>
    <xf numFmtId="166" fontId="0" fillId="5" borderId="30" applyAlignment="1" pivotButton="0" quotePrefix="0" xfId="1">
      <alignment horizontal="center"/>
    </xf>
    <xf numFmtId="166" fontId="0" fillId="5" borderId="12" applyAlignment="1" pivotButton="0" quotePrefix="0" xfId="1">
      <alignment horizontal="center"/>
    </xf>
    <xf numFmtId="166" fontId="0" fillId="5" borderId="15" applyAlignment="1" pivotButton="0" quotePrefix="0" xfId="1">
      <alignment horizontal="center"/>
    </xf>
    <xf numFmtId="2" fontId="0" fillId="0" borderId="0" applyAlignment="1" pivotButton="0" quotePrefix="0" xfId="0">
      <alignment horizontal="center"/>
    </xf>
    <xf numFmtId="2" fontId="0" fillId="0" borderId="0" pivotButton="0" quotePrefix="0" xfId="0"/>
    <xf numFmtId="164" fontId="1" fillId="5" borderId="24" applyAlignment="1" pivotButton="0" quotePrefix="0" xfId="0">
      <alignment horizontal="center" vertical="center" wrapText="1"/>
    </xf>
    <xf numFmtId="164" fontId="1" fillId="5" borderId="5" applyAlignment="1" pivotButton="0" quotePrefix="0" xfId="0">
      <alignment horizontal="center" vertical="center" wrapText="1"/>
    </xf>
    <xf numFmtId="14" fontId="2" fillId="6" borderId="37" applyAlignment="1" pivotButton="0" quotePrefix="0" xfId="0">
      <alignment horizontal="center"/>
    </xf>
    <xf numFmtId="164" fontId="0" fillId="4" borderId="35" applyAlignment="1" pivotButton="0" quotePrefix="0" xfId="0">
      <alignment horizontal="right"/>
    </xf>
    <xf numFmtId="166" fontId="0" fillId="5" borderId="38" applyAlignment="1" pivotButton="0" quotePrefix="0" xfId="1">
      <alignment horizontal="center"/>
    </xf>
    <xf numFmtId="164" fontId="1" fillId="4" borderId="24" applyAlignment="1" pivotButton="0" quotePrefix="0" xfId="0">
      <alignment horizontal="center" vertical="center" wrapText="1"/>
    </xf>
    <xf numFmtId="47" fontId="0" fillId="3" borderId="8" pivotButton="0" quotePrefix="0" xfId="0"/>
    <xf numFmtId="47" fontId="0" fillId="3" borderId="29" pivotButton="0" quotePrefix="0" xfId="0"/>
    <xf numFmtId="47" fontId="0" fillId="3" borderId="14" pivotButton="0" quotePrefix="0" xfId="0"/>
    <xf numFmtId="47" fontId="0" fillId="3" borderId="11" pivotButton="0" quotePrefix="0" xfId="0"/>
    <xf numFmtId="14" fontId="0" fillId="4" borderId="39" applyAlignment="1" pivotButton="0" quotePrefix="0" xfId="0">
      <alignment horizontal="center"/>
    </xf>
    <xf numFmtId="1" fontId="0" fillId="4" borderId="39" applyAlignment="1" pivotButton="0" quotePrefix="0" xfId="0">
      <alignment horizontal="center"/>
    </xf>
    <xf numFmtId="164" fontId="0" fillId="4" borderId="11" applyAlignment="1" pivotButton="0" quotePrefix="0" xfId="0">
      <alignment horizontal="right"/>
    </xf>
    <xf numFmtId="164" fontId="0" fillId="4" borderId="14" applyAlignment="1" pivotButton="0" quotePrefix="0" xfId="0">
      <alignment horizontal="right"/>
    </xf>
    <xf numFmtId="166" fontId="5" fillId="5" borderId="10" applyAlignment="1" pivotButton="0" quotePrefix="0" xfId="1">
      <alignment horizontal="center"/>
    </xf>
    <xf numFmtId="166" fontId="5" fillId="5" borderId="13" applyAlignment="1" pivotButton="0" quotePrefix="0" xfId="1">
      <alignment horizontal="center"/>
    </xf>
    <xf numFmtId="165" fontId="1" fillId="4" borderId="3" applyAlignment="1" pivotButton="0" quotePrefix="0" xfId="0">
      <alignment horizontal="center" vertical="center"/>
    </xf>
    <xf numFmtId="167" fontId="0" fillId="4" borderId="12" applyAlignment="1" pivotButton="0" quotePrefix="0" xfId="0">
      <alignment horizontal="right"/>
    </xf>
    <xf numFmtId="167" fontId="0" fillId="4" borderId="9" applyAlignment="1" pivotButton="0" quotePrefix="0" xfId="0">
      <alignment horizontal="right"/>
    </xf>
    <xf numFmtId="167" fontId="0" fillId="4" borderId="30" applyAlignment="1" pivotButton="0" quotePrefix="0" xfId="0">
      <alignment horizontal="right"/>
    </xf>
    <xf numFmtId="167" fontId="0" fillId="4" borderId="15" applyAlignment="1" pivotButton="0" quotePrefix="0" xfId="0">
      <alignment horizontal="right"/>
    </xf>
    <xf numFmtId="167" fontId="0" fillId="4" borderId="11" applyAlignment="1" pivotButton="0" quotePrefix="0" xfId="0">
      <alignment horizontal="right"/>
    </xf>
    <xf numFmtId="167" fontId="0" fillId="4" borderId="8" applyAlignment="1" pivotButton="0" quotePrefix="0" xfId="0">
      <alignment horizontal="right"/>
    </xf>
    <xf numFmtId="167" fontId="0" fillId="4" borderId="29" applyAlignment="1" pivotButton="0" quotePrefix="0" xfId="0">
      <alignment horizontal="right"/>
    </xf>
    <xf numFmtId="167" fontId="0" fillId="4" borderId="14" applyAlignment="1" pivotButton="0" quotePrefix="0" xfId="0">
      <alignment horizontal="right"/>
    </xf>
    <xf numFmtId="166" fontId="3" fillId="5" borderId="13" applyAlignment="1" pivotButton="0" quotePrefix="0" xfId="1">
      <alignment horizontal="center"/>
    </xf>
    <xf numFmtId="166" fontId="3" fillId="5" borderId="10" applyAlignment="1" pivotButton="0" quotePrefix="0" xfId="1">
      <alignment horizontal="center"/>
    </xf>
    <xf numFmtId="164" fontId="1" fillId="4" borderId="4" applyAlignment="1" pivotButton="0" quotePrefix="0" xfId="0">
      <alignment horizontal="center" vertical="center" wrapText="1"/>
    </xf>
    <xf numFmtId="166" fontId="6" fillId="5" borderId="10" applyAlignment="1" pivotButton="0" quotePrefix="0" xfId="1">
      <alignment horizontal="center"/>
    </xf>
    <xf numFmtId="166" fontId="5" fillId="5" borderId="38" applyAlignment="1" pivotButton="0" quotePrefix="0" xfId="1">
      <alignment horizontal="center"/>
    </xf>
    <xf numFmtId="0" fontId="5" fillId="5" borderId="13" applyAlignment="1" pivotButton="0" quotePrefix="0" xfId="1">
      <alignment horizontal="center"/>
    </xf>
    <xf numFmtId="0" fontId="5" fillId="5" borderId="10" applyAlignment="1" pivotButton="0" quotePrefix="0" xfId="1">
      <alignment horizontal="center"/>
    </xf>
    <xf numFmtId="166" fontId="3" fillId="5" borderId="38" applyAlignment="1" pivotButton="0" quotePrefix="0" xfId="1">
      <alignment horizontal="center"/>
    </xf>
    <xf numFmtId="0" fontId="8" fillId="8" borderId="41" applyAlignment="1" pivotButton="0" quotePrefix="0" xfId="0">
      <alignment horizontal="center" vertical="center" wrapText="1"/>
    </xf>
    <xf numFmtId="0" fontId="0" fillId="0" borderId="41" pivotButton="0" quotePrefix="0" xfId="0"/>
    <xf numFmtId="0" fontId="9" fillId="9" borderId="41" applyAlignment="1" pivotButton="0" quotePrefix="0" xfId="0">
      <alignment horizontal="center" vertical="center" wrapText="1"/>
    </xf>
    <xf numFmtId="0" fontId="9" fillId="10" borderId="41" applyAlignment="1" pivotButton="0" quotePrefix="0" xfId="0">
      <alignment horizontal="center" vertical="center" wrapText="1"/>
    </xf>
    <xf numFmtId="0" fontId="10" fillId="11" borderId="41" applyAlignment="1" pivotButton="0" quotePrefix="0" xfId="0">
      <alignment horizontal="center" vertical="center" wrapText="1"/>
    </xf>
    <xf numFmtId="168" fontId="11" fillId="9" borderId="41" applyAlignment="1" pivotButton="0" quotePrefix="0" xfId="0">
      <alignment horizontal="center" vertical="center" wrapText="1"/>
    </xf>
    <xf numFmtId="168" fontId="11" fillId="10" borderId="41" applyAlignment="1" pivotButton="0" quotePrefix="0" xfId="0">
      <alignment horizontal="center" vertical="center" wrapText="1"/>
    </xf>
    <xf numFmtId="168" fontId="11" fillId="0" borderId="41" applyAlignment="1" pivotButton="0" quotePrefix="0" xfId="0">
      <alignment horizontal="center" vertical="center" wrapText="1"/>
    </xf>
    <xf numFmtId="168" fontId="0" fillId="3" borderId="8" pivotButton="0" quotePrefix="0" xfId="0"/>
    <xf numFmtId="168" fontId="0" fillId="4" borderId="11" applyAlignment="1" pivotButton="0" quotePrefix="0" xfId="0">
      <alignment horizontal="right"/>
    </xf>
    <xf numFmtId="168" fontId="0" fillId="4" borderId="12" applyAlignment="1" pivotButton="0" quotePrefix="0" xfId="0">
      <alignment horizontal="right"/>
    </xf>
    <xf numFmtId="168" fontId="0" fillId="4" borderId="8" applyAlignment="1" pivotButton="0" quotePrefix="0" xfId="0">
      <alignment horizontal="right"/>
    </xf>
    <xf numFmtId="168" fontId="0" fillId="4" borderId="9" applyAlignment="1" pivotButton="0" quotePrefix="0" xfId="0">
      <alignment horizontal="right"/>
    </xf>
    <xf numFmtId="168" fontId="0" fillId="3" borderId="8" applyAlignment="1" pivotButton="0" quotePrefix="0" xfId="0">
      <alignment horizontal="right"/>
    </xf>
    <xf numFmtId="168" fontId="0" fillId="4" borderId="8" pivotButton="0" quotePrefix="0" xfId="0"/>
    <xf numFmtId="168" fontId="0" fillId="4" borderId="29" pivotButton="0" quotePrefix="0" xfId="0"/>
    <xf numFmtId="168" fontId="0" fillId="4" borderId="15" applyAlignment="1" pivotButton="0" quotePrefix="0" xfId="0">
      <alignment horizontal="right"/>
    </xf>
    <xf numFmtId="168" fontId="0" fillId="3" borderId="11" pivotButton="0" quotePrefix="0" xfId="0"/>
    <xf numFmtId="168" fontId="0" fillId="3" borderId="14" pivotButton="0" quotePrefix="0" xfId="0"/>
    <xf numFmtId="168" fontId="0" fillId="4" borderId="14" applyAlignment="1" pivotButton="0" quotePrefix="0" xfId="0">
      <alignment horizontal="right"/>
    </xf>
    <xf numFmtId="0" fontId="10" fillId="14" borderId="41" applyAlignment="1" pivotButton="0" quotePrefix="0" xfId="0">
      <alignment horizontal="center" vertical="center" wrapText="1"/>
    </xf>
    <xf numFmtId="0" fontId="10" fillId="15" borderId="41" applyAlignment="1" pivotButton="0" quotePrefix="0" xfId="0">
      <alignment horizontal="center" vertical="center" wrapText="1"/>
    </xf>
    <xf numFmtId="0" fontId="10" fillId="16" borderId="41" applyAlignment="1" pivotButton="0" quotePrefix="0" xfId="0">
      <alignment horizontal="left" vertical="center"/>
    </xf>
    <xf numFmtId="168" fontId="11" fillId="14" borderId="41" applyAlignment="1" pivotButton="0" quotePrefix="0" xfId="0">
      <alignment horizontal="center" vertical="center" wrapText="1"/>
    </xf>
    <xf numFmtId="168" fontId="11" fillId="15" borderId="4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165" fontId="0" fillId="7" borderId="17" applyAlignment="1" pivotButton="0" quotePrefix="0" xfId="0">
      <alignment horizontal="center"/>
    </xf>
    <xf numFmtId="165" fontId="0" fillId="7" borderId="18" applyAlignment="1" pivotButton="0" quotePrefix="0" xfId="0">
      <alignment horizontal="center"/>
    </xf>
    <xf numFmtId="165" fontId="0" fillId="7" borderId="33" applyAlignment="1" pivotButton="0" quotePrefix="0" xfId="0">
      <alignment horizontal="center"/>
    </xf>
    <xf numFmtId="165" fontId="0" fillId="7" borderId="19" applyAlignment="1" pivotButton="0" quotePrefix="0" xfId="0">
      <alignment horizontal="center"/>
    </xf>
    <xf numFmtId="168" fontId="0" fillId="3" borderId="18" applyAlignment="1" pivotButton="0" quotePrefix="0" xfId="0">
      <alignment horizontal="right"/>
    </xf>
    <xf numFmtId="168" fontId="0" fillId="3" borderId="17" pivotButton="0" quotePrefix="0" xfId="0"/>
    <xf numFmtId="168" fontId="0" fillId="3" borderId="18" pivotButton="0" quotePrefix="0" xfId="0"/>
    <xf numFmtId="168" fontId="0" fillId="3" borderId="19" pivotButton="0" quotePrefix="0" xfId="0"/>
    <xf numFmtId="168" fontId="0" fillId="3" borderId="12" applyAlignment="1" pivotButton="0" quotePrefix="0" xfId="0">
      <alignment horizontal="right"/>
    </xf>
    <xf numFmtId="168" fontId="0" fillId="3" borderId="9" applyAlignment="1" pivotButton="0" quotePrefix="0" xfId="0">
      <alignment horizontal="right"/>
    </xf>
    <xf numFmtId="168" fontId="0" fillId="3" borderId="15" applyAlignment="1" pivotButton="0" quotePrefix="0" xfId="0">
      <alignment horizontal="right"/>
    </xf>
    <xf numFmtId="168" fontId="0" fillId="4" borderId="17" applyAlignment="1" pivotButton="0" quotePrefix="0" xfId="0">
      <alignment horizontal="right"/>
    </xf>
    <xf numFmtId="168" fontId="0" fillId="4" borderId="18" applyAlignment="1" pivotButton="0" quotePrefix="0" xfId="0">
      <alignment horizontal="right"/>
    </xf>
    <xf numFmtId="168" fontId="0" fillId="4" borderId="33" applyAlignment="1" pivotButton="0" quotePrefix="0" xfId="0">
      <alignment horizontal="right"/>
    </xf>
    <xf numFmtId="168" fontId="0" fillId="4" borderId="19" applyAlignment="1" pivotButton="0" quotePrefix="0" xfId="0">
      <alignment horizontal="right"/>
    </xf>
    <xf numFmtId="168" fontId="0" fillId="4" borderId="36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2" fontId="3" fillId="0" borderId="0" applyAlignment="1" pivotButton="0" quotePrefix="0" xfId="0">
      <alignment horizontal="center"/>
    </xf>
    <xf numFmtId="2" fontId="3" fillId="0" borderId="0" pivotButton="0" quotePrefix="0" xfId="0"/>
    <xf numFmtId="0" fontId="1" fillId="5" borderId="5" applyAlignment="1" pivotButton="0" quotePrefix="0" xfId="0">
      <alignment horizontal="center" vertical="center" wrapText="1"/>
    </xf>
    <xf numFmtId="164" fontId="0" fillId="5" borderId="48" applyAlignment="1" pivotButton="0" quotePrefix="0" xfId="0">
      <alignment horizontal="center"/>
    </xf>
    <xf numFmtId="0" fontId="0" fillId="5" borderId="48" applyAlignment="1" pivotButton="0" quotePrefix="0" xfId="0">
      <alignment horizontal="center"/>
    </xf>
    <xf numFmtId="166" fontId="0" fillId="5" borderId="48" applyAlignment="1" pivotButton="0" quotePrefix="0" xfId="1">
      <alignment horizontal="center"/>
    </xf>
    <xf numFmtId="166" fontId="0" fillId="5" borderId="49" applyAlignment="1" pivotButton="0" quotePrefix="0" xfId="1">
      <alignment horizontal="center"/>
    </xf>
    <xf numFmtId="0" fontId="5" fillId="5" borderId="49" applyAlignment="1" pivotButton="0" quotePrefix="0" xfId="1">
      <alignment horizontal="center"/>
    </xf>
    <xf numFmtId="166" fontId="0" fillId="5" borderId="17" applyAlignment="1" pivotButton="0" quotePrefix="0" xfId="1">
      <alignment horizontal="left"/>
    </xf>
    <xf numFmtId="166" fontId="0" fillId="5" borderId="19" applyAlignment="1" pivotButton="0" quotePrefix="0" xfId="1">
      <alignment horizontal="right"/>
    </xf>
    <xf numFmtId="166" fontId="5" fillId="5" borderId="16" applyAlignment="1" pivotButton="0" quotePrefix="0" xfId="1">
      <alignment horizontal="center"/>
    </xf>
    <xf numFmtId="0" fontId="13" fillId="0" borderId="0" pivotButton="0" quotePrefix="0" xfId="0"/>
    <xf numFmtId="0" fontId="15" fillId="17" borderId="4" applyAlignment="1" pivotButton="0" quotePrefix="0" xfId="0">
      <alignment horizontal="center" vertical="center" wrapText="1"/>
    </xf>
    <xf numFmtId="0" fontId="15" fillId="17" borderId="5" applyAlignment="1" pivotButton="0" quotePrefix="0" xfId="0">
      <alignment horizontal="center" vertical="center" wrapText="1"/>
    </xf>
    <xf numFmtId="164" fontId="15" fillId="17" borderId="5" applyAlignment="1" pivotButton="0" quotePrefix="0" xfId="0">
      <alignment horizontal="center" vertical="center" wrapText="1"/>
    </xf>
    <xf numFmtId="14" fontId="15" fillId="17" borderId="7" applyAlignment="1" pivotButton="0" quotePrefix="0" xfId="0">
      <alignment horizontal="center" vertical="center" wrapText="1"/>
    </xf>
    <xf numFmtId="14" fontId="15" fillId="17" borderId="44" applyAlignment="1" pivotButton="0" quotePrefix="0" xfId="0">
      <alignment horizontal="center" vertical="center" wrapText="1"/>
    </xf>
    <xf numFmtId="164" fontId="15" fillId="17" borderId="4" applyAlignment="1" pivotButton="0" quotePrefix="0" xfId="0">
      <alignment horizontal="center" vertical="center" wrapText="1"/>
    </xf>
    <xf numFmtId="165" fontId="15" fillId="17" borderId="5" applyAlignment="1" pivotButton="0" quotePrefix="0" xfId="0">
      <alignment horizontal="center" vertical="center" wrapText="1"/>
    </xf>
    <xf numFmtId="165" fontId="15" fillId="17" borderId="7" applyAlignment="1" pivotButton="0" quotePrefix="0" xfId="0">
      <alignment horizontal="center" vertical="center" wrapText="1"/>
    </xf>
    <xf numFmtId="164" fontId="15" fillId="17" borderId="45" applyAlignment="1" pivotButton="0" quotePrefix="0" xfId="0">
      <alignment horizontal="center" vertical="center" wrapText="1"/>
    </xf>
    <xf numFmtId="165" fontId="15" fillId="17" borderId="47" applyAlignment="1" pivotButton="0" quotePrefix="0" xfId="0">
      <alignment horizontal="center" vertical="center" wrapText="1"/>
    </xf>
    <xf numFmtId="164" fontId="15" fillId="17" borderId="47" applyAlignment="1" pivotButton="0" quotePrefix="0" xfId="0">
      <alignment horizontal="center" vertical="center" wrapText="1"/>
    </xf>
    <xf numFmtId="1" fontId="16" fillId="4" borderId="50" applyAlignment="1" pivotButton="0" quotePrefix="0" xfId="0">
      <alignment horizontal="center" vertical="center" wrapText="1"/>
    </xf>
    <xf numFmtId="1" fontId="16" fillId="4" borderId="42" applyAlignment="1" pivotButton="0" quotePrefix="0" xfId="0">
      <alignment horizontal="center" vertical="center" wrapText="1"/>
    </xf>
    <xf numFmtId="1" fontId="16" fillId="4" borderId="51" applyAlignment="1" pivotButton="0" quotePrefix="0" xfId="0">
      <alignment horizontal="center" vertical="center" wrapText="1"/>
    </xf>
    <xf numFmtId="1" fontId="16" fillId="4" borderId="52" applyAlignment="1" pivotButton="0" quotePrefix="0" xfId="0">
      <alignment horizontal="center" vertical="center" wrapText="1"/>
    </xf>
    <xf numFmtId="1" fontId="16" fillId="6" borderId="42" applyAlignment="1" pivotButton="0" quotePrefix="0" xfId="0">
      <alignment horizontal="center" vertical="center" wrapText="1"/>
    </xf>
    <xf numFmtId="164" fontId="1" fillId="4" borderId="4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164" fontId="1" fillId="5" borderId="40" applyAlignment="1" pivotButton="0" quotePrefix="0" xfId="0">
      <alignment horizontal="center"/>
    </xf>
    <xf numFmtId="164" fontId="1" fillId="3" borderId="40" applyAlignment="1" pivotButton="0" quotePrefix="0" xfId="0">
      <alignment horizontal="center"/>
    </xf>
    <xf numFmtId="0" fontId="10" fillId="13" borderId="46" pivotButton="0" quotePrefix="0" xfId="0"/>
    <xf numFmtId="0" fontId="0" fillId="0" borderId="43" pivotButton="0" quotePrefix="0" xfId="0"/>
    <xf numFmtId="0" fontId="10" fillId="12" borderId="46" pivotButton="0" quotePrefix="0" xfId="0"/>
    <xf numFmtId="0" fontId="7" fillId="0" borderId="0" pivotButton="0" quotePrefix="0" xfId="0"/>
    <xf numFmtId="0" fontId="0" fillId="0" borderId="0" pivotButton="0" quotePrefix="0" xfId="0"/>
    <xf numFmtId="0" fontId="12" fillId="12" borderId="46" pivotButton="0" quotePrefix="0" xfId="0"/>
    <xf numFmtId="0" fontId="0" fillId="0" borderId="42" pivotButton="0" quotePrefix="0" xfId="0"/>
    <xf numFmtId="0" fontId="12" fillId="13" borderId="46" pivotButton="0" quotePrefix="0" xfId="0"/>
    <xf numFmtId="0" fontId="8" fillId="8" borderId="46" applyAlignment="1" pivotButton="0" quotePrefix="0" xfId="0">
      <alignment horizontal="center" vertical="center" wrapText="1"/>
    </xf>
    <xf numFmtId="1" fontId="0" fillId="4" borderId="13" applyAlignment="1" pivotButton="0" quotePrefix="0" xfId="0">
      <alignment horizontal="right" indent="1"/>
    </xf>
    <xf numFmtId="1" fontId="0" fillId="4" borderId="10" applyAlignment="1" pivotButton="0" quotePrefix="0" xfId="0">
      <alignment horizontal="right" indent="1"/>
    </xf>
    <xf numFmtId="1" fontId="0" fillId="4" borderId="32" applyAlignment="1" pivotButton="0" quotePrefix="0" xfId="0">
      <alignment horizontal="right" indent="1"/>
    </xf>
    <xf numFmtId="1" fontId="0" fillId="4" borderId="16" applyAlignment="1" pivotButton="0" quotePrefix="0" xfId="0">
      <alignment horizontal="right" indent="1"/>
    </xf>
    <xf numFmtId="1" fontId="0" fillId="3" borderId="13" applyAlignment="1" pivotButton="0" quotePrefix="0" xfId="0">
      <alignment horizontal="right" indent="1"/>
    </xf>
    <xf numFmtId="1" fontId="0" fillId="3" borderId="10" applyAlignment="1" pivotButton="0" quotePrefix="0" xfId="0">
      <alignment horizontal="right" indent="1"/>
    </xf>
    <xf numFmtId="1" fontId="0" fillId="3" borderId="32" applyAlignment="1" pivotButton="0" quotePrefix="0" xfId="0">
      <alignment horizontal="right" indent="1"/>
    </xf>
    <xf numFmtId="1" fontId="0" fillId="3" borderId="16" applyAlignment="1" pivotButton="0" quotePrefix="0" xfId="0">
      <alignment horizontal="right" indent="1"/>
    </xf>
    <xf numFmtId="165" fontId="14" fillId="4" borderId="40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4" borderId="2" pivotButton="0" quotePrefix="0" xfId="0"/>
    <xf numFmtId="164" fontId="14" fillId="5" borderId="40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2" pivotButton="0" quotePrefix="0" xfId="0"/>
    <xf numFmtId="164" fontId="14" fillId="4" borderId="4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30" fillId="18" borderId="54" applyAlignment="1" pivotButton="0" quotePrefix="0" xfId="0">
      <alignment horizontal="center" vertical="center" wrapText="1"/>
    </xf>
    <xf numFmtId="0" fontId="31" fillId="0" borderId="54" applyAlignment="1" pivotButton="0" quotePrefix="0" xfId="0">
      <alignment horizontal="center" vertical="center" wrapText="1"/>
    </xf>
    <xf numFmtId="0" fontId="31" fillId="0" borderId="54" applyAlignment="1" pivotButton="0" quotePrefix="0" xfId="0">
      <alignment horizontal="left" vertical="center"/>
    </xf>
    <xf numFmtId="168" fontId="31" fillId="0" borderId="54" applyAlignment="1" pivotButton="0" quotePrefix="0" xfId="0">
      <alignment horizontal="center" vertical="center" wrapText="1"/>
    </xf>
    <xf numFmtId="168" fontId="32" fillId="19" borderId="54" applyAlignment="1" pivotButton="0" quotePrefix="0" xfId="0">
      <alignment horizontal="center" vertical="center" wrapText="1"/>
    </xf>
    <xf numFmtId="0" fontId="33" fillId="20" borderId="54" applyAlignment="1" pivotButton="0" quotePrefix="0" xfId="0">
      <alignment horizontal="center" vertical="center" wrapText="1"/>
    </xf>
    <xf numFmtId="0" fontId="32" fillId="19" borderId="54" applyAlignment="1" pivotButton="0" quotePrefix="0" xfId="0">
      <alignment horizontal="center" vertical="center" wrapText="1"/>
    </xf>
    <xf numFmtId="168" fontId="32" fillId="0" borderId="54" applyAlignment="1" pivotButton="0" quotePrefix="0" xfId="0">
      <alignment horizontal="center" vertical="center" wrapText="1"/>
    </xf>
    <xf numFmtId="0" fontId="32" fillId="0" borderId="54" applyAlignment="1" pivotButton="0" quotePrefix="0" xfId="0">
      <alignment horizontal="center" vertical="center" wrapText="1"/>
    </xf>
    <xf numFmtId="168" fontId="32" fillId="21" borderId="54" applyAlignment="1" pivotButton="0" quotePrefix="0" xfId="0">
      <alignment horizontal="center" vertical="center" wrapText="1"/>
    </xf>
    <xf numFmtId="0" fontId="30" fillId="22" borderId="54" applyAlignment="1" pivotButton="0" quotePrefix="0" xfId="0">
      <alignment horizontal="center" vertical="center" wrapText="1"/>
    </xf>
    <xf numFmtId="0" fontId="32" fillId="21" borderId="54" applyAlignment="1" pivotButton="0" quotePrefix="0" xfId="0">
      <alignment horizontal="center" vertical="center" wrapText="1"/>
    </xf>
    <xf numFmtId="168" fontId="32" fillId="23" borderId="54" applyAlignment="1" pivotButton="0" quotePrefix="0" xfId="0">
      <alignment horizontal="center" vertical="center" wrapText="1"/>
    </xf>
    <xf numFmtId="0" fontId="30" fillId="24" borderId="54" applyAlignment="1" pivotButton="0" quotePrefix="0" xfId="0">
      <alignment horizontal="center" vertical="center" wrapText="1"/>
    </xf>
    <xf numFmtId="0" fontId="32" fillId="23" borderId="54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30" fillId="25" borderId="54" applyAlignment="1" pivotButton="0" quotePrefix="0" xfId="0">
      <alignment horizontal="center" vertical="center" wrapText="1"/>
    </xf>
    <xf numFmtId="0" fontId="36" fillId="26" borderId="54" applyAlignment="1" pivotButton="0" quotePrefix="0" xfId="0">
      <alignment horizontal="left" vertical="center"/>
    </xf>
    <xf numFmtId="0" fontId="0" fillId="26" borderId="54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/>
    </xf>
    <xf numFmtId="0" fontId="38" fillId="27" borderId="54" applyAlignment="1" pivotButton="0" quotePrefix="0" xfId="0">
      <alignment horizontal="center" vertical="center" wrapText="1"/>
    </xf>
    <xf numFmtId="0" fontId="39" fillId="20" borderId="54" applyAlignment="1" pivotButton="0" quotePrefix="0" xfId="0">
      <alignment horizontal="center" vertical="center" wrapText="1"/>
    </xf>
    <xf numFmtId="0" fontId="31" fillId="27" borderId="54" applyAlignment="1" pivotButton="0" quotePrefix="0" xfId="0">
      <alignment horizontal="center" vertical="center" wrapText="1"/>
    </xf>
    <xf numFmtId="0" fontId="31" fillId="27" borderId="54" applyAlignment="1" pivotButton="0" quotePrefix="0" xfId="0">
      <alignment horizontal="left" vertical="center"/>
    </xf>
    <xf numFmtId="168" fontId="31" fillId="27" borderId="54" applyAlignment="1" pivotButton="0" quotePrefix="0" xfId="0">
      <alignment horizontal="center" vertical="center" wrapText="1"/>
    </xf>
    <xf numFmtId="168" fontId="32" fillId="27" borderId="54" applyAlignment="1" pivotButton="0" quotePrefix="0" xfId="0">
      <alignment horizontal="center" vertical="center" wrapText="1"/>
    </xf>
    <xf numFmtId="0" fontId="30" fillId="28" borderId="54" applyAlignment="1" pivotButton="0" quotePrefix="0" xfId="0">
      <alignment horizontal="center" vertical="center" wrapText="1"/>
    </xf>
    <xf numFmtId="0" fontId="32" fillId="27" borderId="54" applyAlignment="1" pivotButton="0" quotePrefix="0" xfId="0">
      <alignment horizontal="center" vertical="center" wrapText="1"/>
    </xf>
    <xf numFmtId="0" fontId="31" fillId="21" borderId="54" applyAlignment="1" pivotButton="0" quotePrefix="0" xfId="0">
      <alignment horizontal="center" vertical="center" wrapText="1"/>
    </xf>
    <xf numFmtId="0" fontId="31" fillId="21" borderId="54" applyAlignment="1" pivotButton="0" quotePrefix="0" xfId="0">
      <alignment horizontal="left" vertical="center"/>
    </xf>
    <xf numFmtId="168" fontId="31" fillId="21" borderId="54" applyAlignment="1" pivotButton="0" quotePrefix="0" xfId="0">
      <alignment horizontal="center" vertical="center" wrapText="1"/>
    </xf>
    <xf numFmtId="0" fontId="31" fillId="23" borderId="54" applyAlignment="1" pivotButton="0" quotePrefix="0" xfId="0">
      <alignment horizontal="center" vertical="center" wrapText="1"/>
    </xf>
    <xf numFmtId="0" fontId="31" fillId="23" borderId="54" applyAlignment="1" pivotButton="0" quotePrefix="0" xfId="0">
      <alignment horizontal="left" vertical="center"/>
    </xf>
    <xf numFmtId="168" fontId="31" fillId="23" borderId="54" applyAlignment="1" pivotButton="0" quotePrefix="0" xfId="0">
      <alignment horizontal="center" vertical="center" wrapText="1"/>
    </xf>
    <xf numFmtId="0" fontId="31" fillId="19" borderId="54" applyAlignment="1" pivotButton="0" quotePrefix="0" xfId="0">
      <alignment horizontal="center" vertical="center" wrapText="1"/>
    </xf>
    <xf numFmtId="0" fontId="31" fillId="19" borderId="54" applyAlignment="1" pivotButton="0" quotePrefix="0" xfId="0">
      <alignment horizontal="left" vertical="center"/>
    </xf>
    <xf numFmtId="168" fontId="31" fillId="19" borderId="54" applyAlignment="1" pivotButton="0" quotePrefix="0" xfId="0">
      <alignment horizontal="center" vertical="center" wrapText="1"/>
    </xf>
    <xf numFmtId="0" fontId="40" fillId="26" borderId="5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9" borderId="0" applyAlignment="1" pivotButton="0" quotePrefix="0" xfId="0">
      <alignment horizontal="center" vertical="center" wrapText="1"/>
    </xf>
    <xf numFmtId="0" fontId="0" fillId="29" borderId="0" applyAlignment="1" pivotButton="0" quotePrefix="0" xfId="0">
      <alignment horizontal="center" vertical="center"/>
    </xf>
    <xf numFmtId="0" fontId="41" fillId="0" borderId="0" pivotButton="0" quotePrefix="0" xfId="0"/>
    <xf numFmtId="0" fontId="41" fillId="30" borderId="0" applyAlignment="1" pivotButton="0" quotePrefix="0" xfId="0">
      <alignment horizontal="center"/>
    </xf>
    <xf numFmtId="0" fontId="41" fillId="31" borderId="0" applyAlignment="1" pivotButton="0" quotePrefix="0" xfId="0">
      <alignment horizontal="center"/>
    </xf>
    <xf numFmtId="169" fontId="0" fillId="0" borderId="0" pivotButton="0" quotePrefix="0" xfId="0"/>
    <xf numFmtId="168" fontId="0" fillId="0" borderId="0" pivotButton="0" quotePrefix="0" xfId="0"/>
  </cellXfs>
  <cellStyles count="3">
    <cellStyle name="Normal" xfId="0" builtinId="0"/>
    <cellStyle name="Comma" xfId="1" builtinId="3"/>
    <cellStyle name="Hyperlink" xfId="2" builtinId="8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wimmingresults.org/12months/index.php?Pool=S&amp;Stroke=1&amp;Sex=F&amp;AgeGroup=08&amp;date-1-dd=31&amp;date-1-mm=12&amp;date-1=2022&amp;StartNumber=1&amp;RecordsToView=50&amp;Level=N&amp;TargetNationality=X&amp;TargetRegion=P&amp;TargetCounty=XXXX&amp;TargetClub=XXX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9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224" min="2" max="2"/>
    <col width="14" customWidth="1" style="224" min="3" max="3"/>
    <col width="9" customWidth="1" style="224" min="4" max="4"/>
    <col width="9" customWidth="1" style="224" min="5" max="5"/>
    <col width="9" customWidth="1" style="224" min="6" max="6"/>
    <col width="8" customWidth="1" style="224" min="7" max="7"/>
    <col width="8" customWidth="1" style="224" min="8" max="8"/>
    <col width="9" customWidth="1" style="224" min="9" max="9"/>
    <col width="9" customWidth="1" style="224" min="10" max="10"/>
    <col width="8" customWidth="1" style="224" min="11" max="11"/>
    <col width="8" customWidth="1" style="224" min="12" max="12"/>
  </cols>
  <sheetData>
    <row r="2">
      <c r="B2" s="244" t="inlineStr">
        <is>
          <t>Margot Mandikos — Season 2026 Dashboard</t>
        </is>
      </c>
    </row>
    <row r="4">
      <c r="B4" s="245" t="inlineStr">
        <is>
          <t>County Q</t>
        </is>
      </c>
      <c r="C4" s="246" t="inlineStr">
        <is>
          <t>County C</t>
        </is>
      </c>
      <c r="D4" s="247" t="inlineStr">
        <is>
          <t>Regional Q</t>
        </is>
      </c>
      <c r="E4" s="248" t="inlineStr">
        <is>
          <t>Regional C</t>
        </is>
      </c>
      <c r="F4" s="249" t="inlineStr">
        <is>
          <t>Within 3s of County C</t>
        </is>
      </c>
      <c r="G4" s="250" t="inlineStr">
        <is>
          <t>Events with PBs</t>
        </is>
      </c>
    </row>
    <row r="5">
      <c r="B5" s="251" t="n">
        <v>13</v>
      </c>
      <c r="C5" s="252" t="n">
        <v>8</v>
      </c>
      <c r="D5" s="253" t="n">
        <v>0</v>
      </c>
      <c r="E5" s="254" t="n">
        <v>0</v>
      </c>
      <c r="F5" s="255" t="n">
        <v>3</v>
      </c>
      <c r="G5" s="256" t="n">
        <v>27</v>
      </c>
    </row>
    <row r="7" ht="28" customHeight="1" s="224">
      <c r="B7" s="257" t="inlineStr">
        <is>
          <t>Cse</t>
        </is>
      </c>
      <c r="C7" s="257" t="inlineStr">
        <is>
          <t>Event</t>
        </is>
      </c>
      <c r="D7" s="257" t="inlineStr">
        <is>
          <t>PB</t>
        </is>
      </c>
      <c r="E7" s="257" t="inlineStr">
        <is>
          <t>County QT</t>
        </is>
      </c>
      <c r="F7" s="257" t="inlineStr">
        <is>
          <t>County Cons</t>
        </is>
      </c>
      <c r="G7" s="257" t="inlineStr">
        <is>
          <t>County Qual</t>
        </is>
      </c>
      <c r="H7" s="257" t="inlineStr">
        <is>
          <t>Cty Rank</t>
        </is>
      </c>
      <c r="I7" s="257" t="inlineStr">
        <is>
          <t>Regional QT</t>
        </is>
      </c>
      <c r="J7" s="257" t="inlineStr">
        <is>
          <t>Regional Cons</t>
        </is>
      </c>
      <c r="K7" s="257" t="inlineStr">
        <is>
          <t>Regional Qual</t>
        </is>
      </c>
      <c r="L7" s="257" t="inlineStr">
        <is>
          <t>Reg Rank</t>
        </is>
      </c>
    </row>
    <row r="8">
      <c r="B8" s="292" t="inlineStr">
        <is>
          <t>S</t>
        </is>
      </c>
      <c r="C8" s="293" t="inlineStr">
        <is>
          <t>50 Free</t>
        </is>
      </c>
      <c r="D8" s="294" t="n">
        <v>0.0003996527777777778</v>
      </c>
      <c r="E8" s="261" t="n">
        <v>0.0003738425925925926</v>
      </c>
      <c r="F8" s="261" t="n">
        <v>0.0003958333333333334</v>
      </c>
      <c r="G8" s="262" t="inlineStr">
        <is>
          <t>—</t>
        </is>
      </c>
      <c r="H8" s="263" t="n">
        <v>13</v>
      </c>
      <c r="I8" s="264" t="n">
        <v>0.0003460648148148148</v>
      </c>
      <c r="J8" s="264" t="n">
        <v>0.0003634259259259259</v>
      </c>
      <c r="K8" s="262" t="inlineStr">
        <is>
          <t>—</t>
        </is>
      </c>
      <c r="L8" s="265" t="n">
        <v>53</v>
      </c>
    </row>
    <row r="9">
      <c r="B9" s="286" t="inlineStr">
        <is>
          <t>S</t>
        </is>
      </c>
      <c r="C9" s="287" t="inlineStr">
        <is>
          <t>100 Free</t>
        </is>
      </c>
      <c r="D9" s="288" t="n">
        <v>0.0008821759259259259</v>
      </c>
      <c r="E9" s="266" t="n">
        <v>0.000832175925925926</v>
      </c>
      <c r="F9" s="266" t="n">
        <v>0.0009027777777777777</v>
      </c>
      <c r="G9" s="267" t="inlineStr">
        <is>
          <t>C</t>
        </is>
      </c>
      <c r="H9" s="268" t="n">
        <v>17</v>
      </c>
      <c r="I9" s="264" t="n">
        <v>0.0007685185185185185</v>
      </c>
      <c r="J9" s="264" t="n">
        <v>0.0008078703703703704</v>
      </c>
      <c r="K9" s="262" t="inlineStr">
        <is>
          <t>—</t>
        </is>
      </c>
      <c r="L9" s="265" t="n">
        <v>45</v>
      </c>
    </row>
    <row r="10">
      <c r="B10" s="286" t="inlineStr">
        <is>
          <t>S</t>
        </is>
      </c>
      <c r="C10" s="287" t="inlineStr">
        <is>
          <t>200 Free</t>
        </is>
      </c>
      <c r="D10" s="288" t="n">
        <v>0.001940277777777778</v>
      </c>
      <c r="E10" s="266" t="n">
        <v>0.001829861111111111</v>
      </c>
      <c r="F10" s="266" t="n">
        <v>0.001974537037037037</v>
      </c>
      <c r="G10" s="267" t="inlineStr">
        <is>
          <t>C</t>
        </is>
      </c>
      <c r="H10" s="268" t="n">
        <v>17</v>
      </c>
      <c r="I10" s="264" t="n">
        <v>0.001642361111111111</v>
      </c>
      <c r="J10" s="264" t="n">
        <v>0.001726851851851852</v>
      </c>
      <c r="K10" s="262" t="inlineStr">
        <is>
          <t>—</t>
        </is>
      </c>
      <c r="L10" s="265" t="n">
        <v>32</v>
      </c>
    </row>
    <row r="11">
      <c r="B11" s="292" t="inlineStr">
        <is>
          <t>S</t>
        </is>
      </c>
      <c r="C11" s="293" t="inlineStr">
        <is>
          <t>400 Free</t>
        </is>
      </c>
      <c r="D11" s="294" t="n">
        <v>0.003983912037037037</v>
      </c>
      <c r="E11" s="261" t="n">
        <v>0.003886574074074074</v>
      </c>
      <c r="F11" s="261" t="n">
        <v>0.003966435185185185</v>
      </c>
      <c r="G11" s="262" t="inlineStr">
        <is>
          <t>—</t>
        </is>
      </c>
      <c r="H11" s="263" t="n">
        <v>10</v>
      </c>
      <c r="I11" s="264" t="n">
        <v>0.003487268518518518</v>
      </c>
      <c r="J11" s="264" t="n">
        <v>0.003666666666666667</v>
      </c>
      <c r="K11" s="262" t="inlineStr">
        <is>
          <t>—</t>
        </is>
      </c>
      <c r="L11" s="265" t="n">
        <v>20</v>
      </c>
    </row>
    <row r="12">
      <c r="B12" s="289" t="inlineStr">
        <is>
          <t>S</t>
        </is>
      </c>
      <c r="C12" s="290" t="inlineStr">
        <is>
          <t>800 Free</t>
        </is>
      </c>
      <c r="D12" s="291" t="n">
        <v>0.008078703703703704</v>
      </c>
      <c r="E12" s="269" t="n">
        <v>0.008622685185185185</v>
      </c>
      <c r="F12" s="269" t="n">
        <v>0.009150462962962963</v>
      </c>
      <c r="G12" s="270" t="inlineStr">
        <is>
          <t>Q</t>
        </is>
      </c>
      <c r="H12" s="271" t="n">
        <v>2</v>
      </c>
      <c r="I12" s="264" t="n">
        <v>0.007033564814814815</v>
      </c>
      <c r="J12" s="264" t="n">
        <v>0.007395833333333333</v>
      </c>
      <c r="K12" s="262" t="inlineStr">
        <is>
          <t>—</t>
        </is>
      </c>
      <c r="L12" s="265" t="n"/>
    </row>
    <row r="13">
      <c r="B13" s="258" t="inlineStr">
        <is>
          <t>S</t>
        </is>
      </c>
      <c r="C13" s="259" t="inlineStr">
        <is>
          <t>1500 Free</t>
        </is>
      </c>
      <c r="D13" s="260" t="inlineStr">
        <is>
          <t>-</t>
        </is>
      </c>
      <c r="E13" s="264" t="n">
        <v>0.01403356481481481</v>
      </c>
      <c r="F13" s="264" t="n">
        <v>0.01431712962962963</v>
      </c>
      <c r="G13" s="262" t="inlineStr">
        <is>
          <t>—</t>
        </is>
      </c>
      <c r="H13" s="265" t="n">
        <v>10</v>
      </c>
      <c r="I13" s="264" t="n">
        <v>0.01368865740740741</v>
      </c>
      <c r="J13" s="264" t="n">
        <v>0.01439236111111111</v>
      </c>
      <c r="K13" s="262" t="inlineStr">
        <is>
          <t>—</t>
        </is>
      </c>
      <c r="L13" s="265" t="n"/>
    </row>
    <row r="14">
      <c r="B14" s="289" t="inlineStr">
        <is>
          <t>S</t>
        </is>
      </c>
      <c r="C14" s="290" t="inlineStr">
        <is>
          <t>50 Back</t>
        </is>
      </c>
      <c r="D14" s="291" t="n">
        <v>0.0004322916666666667</v>
      </c>
      <c r="E14" s="269" t="n">
        <v>0.0004421296296296297</v>
      </c>
      <c r="F14" s="269" t="n">
        <v>0.0004722222222222222</v>
      </c>
      <c r="G14" s="270" t="inlineStr">
        <is>
          <t>Q</t>
        </is>
      </c>
      <c r="H14" s="271" t="n">
        <v>3</v>
      </c>
      <c r="I14" s="264" t="n">
        <v>0.0004074074074074074</v>
      </c>
      <c r="J14" s="264" t="n">
        <v>0.0004293981481481482</v>
      </c>
      <c r="K14" s="262" t="inlineStr">
        <is>
          <t>—</t>
        </is>
      </c>
      <c r="L14" s="265" t="n">
        <v>8</v>
      </c>
    </row>
    <row r="15">
      <c r="B15" s="289" t="inlineStr">
        <is>
          <t>S</t>
        </is>
      </c>
      <c r="C15" s="290" t="inlineStr">
        <is>
          <t>100 Back</t>
        </is>
      </c>
      <c r="D15" s="291" t="n">
        <v>0.0009351851851851852</v>
      </c>
      <c r="E15" s="269" t="n">
        <v>0.0009710648148148149</v>
      </c>
      <c r="F15" s="269" t="n">
        <v>0.001030092592592593</v>
      </c>
      <c r="G15" s="270" t="inlineStr">
        <is>
          <t>Q</t>
        </is>
      </c>
      <c r="H15" s="271" t="n">
        <v>4</v>
      </c>
      <c r="I15" s="264" t="n">
        <v>0.000880787037037037</v>
      </c>
      <c r="J15" s="264" t="n">
        <v>0.000925925925925926</v>
      </c>
      <c r="K15" s="262" t="inlineStr">
        <is>
          <t>—</t>
        </is>
      </c>
      <c r="L15" s="265" t="n">
        <v>9</v>
      </c>
    </row>
    <row r="16">
      <c r="B16" s="289" t="inlineStr">
        <is>
          <t>S</t>
        </is>
      </c>
      <c r="C16" s="290" t="inlineStr">
        <is>
          <t>200 Back</t>
        </is>
      </c>
      <c r="D16" s="291" t="n">
        <v>0.002012962962962963</v>
      </c>
      <c r="E16" s="269" t="n">
        <v>0.002096064814814815</v>
      </c>
      <c r="F16" s="269" t="n">
        <v>0.002197916666666667</v>
      </c>
      <c r="G16" s="270" t="inlineStr">
        <is>
          <t>Q</t>
        </is>
      </c>
      <c r="H16" s="271" t="n">
        <v>7</v>
      </c>
      <c r="I16" s="264" t="n">
        <v>0.001865740740740741</v>
      </c>
      <c r="J16" s="264" t="n">
        <v>0.001960648148148148</v>
      </c>
      <c r="K16" s="262" t="inlineStr">
        <is>
          <t>—</t>
        </is>
      </c>
      <c r="L16" s="265" t="n"/>
    </row>
    <row r="17">
      <c r="B17" s="292" t="inlineStr">
        <is>
          <t>S</t>
        </is>
      </c>
      <c r="C17" s="293" t="inlineStr">
        <is>
          <t>50 Breast</t>
        </is>
      </c>
      <c r="D17" s="294" t="n">
        <v>0.0005456018518518519</v>
      </c>
      <c r="E17" s="261" t="n">
        <v>0.0004930555555555556</v>
      </c>
      <c r="F17" s="261" t="n">
        <v>0.0005358796296296296</v>
      </c>
      <c r="G17" s="262" t="inlineStr">
        <is>
          <t>—</t>
        </is>
      </c>
      <c r="H17" s="263" t="n">
        <v>12</v>
      </c>
      <c r="I17" s="264" t="n">
        <v>0.0004583333333333333</v>
      </c>
      <c r="J17" s="264" t="n">
        <v>0.0004814814814814815</v>
      </c>
      <c r="K17" s="262" t="inlineStr">
        <is>
          <t>—</t>
        </is>
      </c>
      <c r="L17" s="265" t="inlineStr">
        <is>
          <t>100+</t>
        </is>
      </c>
    </row>
    <row r="18">
      <c r="B18" s="258" t="inlineStr">
        <is>
          <t>S</t>
        </is>
      </c>
      <c r="C18" s="259" t="inlineStr">
        <is>
          <t>100 Breast</t>
        </is>
      </c>
      <c r="D18" s="260" t="n">
        <v>0.001230555555555555</v>
      </c>
      <c r="E18" s="264" t="n">
        <v>0.001105324074074074</v>
      </c>
      <c r="F18" s="264" t="n">
        <v>0.001184027777777778</v>
      </c>
      <c r="G18" s="262" t="inlineStr">
        <is>
          <t>—</t>
        </is>
      </c>
      <c r="H18" s="265" t="n">
        <v>25</v>
      </c>
      <c r="I18" s="264" t="n">
        <v>0.001023148148148148</v>
      </c>
      <c r="J18" s="264" t="n">
        <v>0.001076388888888889</v>
      </c>
      <c r="K18" s="262" t="inlineStr">
        <is>
          <t>—</t>
        </is>
      </c>
      <c r="L18" s="265" t="n">
        <v>55</v>
      </c>
    </row>
    <row r="19">
      <c r="B19" s="258" t="inlineStr">
        <is>
          <t>S</t>
        </is>
      </c>
      <c r="C19" s="259" t="inlineStr">
        <is>
          <t>200 Breast</t>
        </is>
      </c>
      <c r="D19" s="260" t="inlineStr">
        <is>
          <t>-</t>
        </is>
      </c>
      <c r="E19" s="264" t="n">
        <v>0.002383101851851852</v>
      </c>
      <c r="F19" s="264" t="n">
        <v>0.002541666666666666</v>
      </c>
      <c r="G19" s="262" t="inlineStr">
        <is>
          <t>—</t>
        </is>
      </c>
      <c r="H19" s="265" t="n">
        <v>10</v>
      </c>
      <c r="I19" s="264" t="n">
        <v>0.0021875</v>
      </c>
      <c r="J19" s="264" t="n">
        <v>0.002300925925925926</v>
      </c>
      <c r="K19" s="262" t="inlineStr">
        <is>
          <t>—</t>
        </is>
      </c>
      <c r="L19" s="265" t="n"/>
    </row>
    <row r="20">
      <c r="B20" s="286" t="inlineStr">
        <is>
          <t>S</t>
        </is>
      </c>
      <c r="C20" s="287" t="inlineStr">
        <is>
          <t>50 Fly</t>
        </is>
      </c>
      <c r="D20" s="288" t="n">
        <v>0.0004188657407407407</v>
      </c>
      <c r="E20" s="266" t="n">
        <v>0.0004178240740740741</v>
      </c>
      <c r="F20" s="266" t="n">
        <v>0.0004664351851851851</v>
      </c>
      <c r="G20" s="267" t="inlineStr">
        <is>
          <t>C</t>
        </is>
      </c>
      <c r="H20" s="268" t="n">
        <v>6</v>
      </c>
      <c r="I20" s="264" t="n">
        <v>0.0003877314814814815</v>
      </c>
      <c r="J20" s="264" t="n">
        <v>0.0004085648148148148</v>
      </c>
      <c r="K20" s="262" t="inlineStr">
        <is>
          <t>—</t>
        </is>
      </c>
      <c r="L20" s="265" t="n">
        <v>20</v>
      </c>
    </row>
    <row r="21">
      <c r="B21" s="289" t="inlineStr">
        <is>
          <t>S</t>
        </is>
      </c>
      <c r="C21" s="290" t="inlineStr">
        <is>
          <t>100 Fly</t>
        </is>
      </c>
      <c r="D21" s="291" t="n">
        <v>0.0009641203703703704</v>
      </c>
      <c r="E21" s="269" t="n">
        <v>0.001002314814814815</v>
      </c>
      <c r="F21" s="269" t="n">
        <v>0.001152777777777778</v>
      </c>
      <c r="G21" s="270" t="inlineStr">
        <is>
          <t>Q</t>
        </is>
      </c>
      <c r="H21" s="271" t="n">
        <v>15</v>
      </c>
      <c r="I21" s="264" t="n">
        <v>0.0008958333333333334</v>
      </c>
      <c r="J21" s="264" t="n">
        <v>0.0009421296296296297</v>
      </c>
      <c r="K21" s="262" t="inlineStr">
        <is>
          <t>—</t>
        </is>
      </c>
      <c r="L21" s="265" t="n"/>
    </row>
    <row r="22">
      <c r="B22" s="289" t="inlineStr">
        <is>
          <t>S</t>
        </is>
      </c>
      <c r="C22" s="290" t="inlineStr">
        <is>
          <t>200 Fly</t>
        </is>
      </c>
      <c r="D22" s="291" t="n">
        <v>0.002209953703703704</v>
      </c>
      <c r="E22" s="269" t="n">
        <v>0.002603009259259259</v>
      </c>
      <c r="F22" s="269" t="n">
        <v>0.0030625</v>
      </c>
      <c r="G22" s="270" t="inlineStr">
        <is>
          <t>Q</t>
        </is>
      </c>
      <c r="H22" s="271" t="n"/>
      <c r="I22" s="264" t="n">
        <v>0.002099537037037037</v>
      </c>
      <c r="J22" s="264" t="n">
        <v>0.002206018518518519</v>
      </c>
      <c r="K22" s="262" t="inlineStr">
        <is>
          <t>—</t>
        </is>
      </c>
      <c r="L22" s="265" t="n"/>
    </row>
    <row r="23">
      <c r="B23" s="286" t="inlineStr">
        <is>
          <t>S</t>
        </is>
      </c>
      <c r="C23" s="287" t="inlineStr">
        <is>
          <t>200 IM</t>
        </is>
      </c>
      <c r="D23" s="288" t="n">
        <v>0.002119097222222222</v>
      </c>
      <c r="E23" s="266" t="n">
        <v>0.002076388888888889</v>
      </c>
      <c r="F23" s="266" t="n">
        <v>0.002210648148148148</v>
      </c>
      <c r="G23" s="267" t="inlineStr">
        <is>
          <t>C</t>
        </is>
      </c>
      <c r="H23" s="268" t="n">
        <v>9</v>
      </c>
      <c r="I23" s="264" t="n">
        <v>0.001878472222222222</v>
      </c>
      <c r="J23" s="264" t="n">
        <v>0.001975694444444444</v>
      </c>
      <c r="K23" s="262" t="inlineStr">
        <is>
          <t>—</t>
        </is>
      </c>
      <c r="L23" s="265" t="n">
        <v>29</v>
      </c>
    </row>
    <row r="24">
      <c r="B24" s="286" t="inlineStr">
        <is>
          <t>L</t>
        </is>
      </c>
      <c r="C24" s="287" t="inlineStr">
        <is>
          <t>50 Free</t>
        </is>
      </c>
      <c r="D24" s="288" t="n">
        <v>0.0004030092592592593</v>
      </c>
      <c r="E24" s="266" t="n">
        <v>0.0003809027777777777</v>
      </c>
      <c r="F24" s="266" t="n">
        <v>0.0004032407407407408</v>
      </c>
      <c r="G24" s="267" t="inlineStr">
        <is>
          <t>C</t>
        </is>
      </c>
      <c r="H24" s="268" t="n">
        <v>5</v>
      </c>
      <c r="I24" s="264" t="n">
        <v>0.0003538194444444445</v>
      </c>
      <c r="J24" s="264" t="n">
        <v>0.0003715277777777778</v>
      </c>
      <c r="K24" s="262" t="inlineStr">
        <is>
          <t>—</t>
        </is>
      </c>
      <c r="L24" s="265" t="n">
        <v>10</v>
      </c>
    </row>
    <row r="25">
      <c r="B25" s="286" t="inlineStr">
        <is>
          <t>L</t>
        </is>
      </c>
      <c r="C25" s="287" t="inlineStr">
        <is>
          <t>100 Free</t>
        </is>
      </c>
      <c r="D25" s="288" t="n">
        <v>0.0009133101851851852</v>
      </c>
      <c r="E25" s="266" t="n">
        <v>0.0008460648148148148</v>
      </c>
      <c r="F25" s="266" t="n">
        <v>0.0009155092592592591</v>
      </c>
      <c r="G25" s="267" t="inlineStr">
        <is>
          <t>C</t>
        </is>
      </c>
      <c r="H25" s="268" t="n">
        <v>4</v>
      </c>
      <c r="I25" s="264" t="n">
        <v>0.0007826388888888889</v>
      </c>
      <c r="J25" s="264" t="n">
        <v>0.0008217592592592593</v>
      </c>
      <c r="K25" s="262" t="inlineStr">
        <is>
          <t>—</t>
        </is>
      </c>
      <c r="L25" s="265" t="n">
        <v>6</v>
      </c>
    </row>
    <row r="26">
      <c r="B26" s="286" t="inlineStr">
        <is>
          <t>L</t>
        </is>
      </c>
      <c r="C26" s="287" t="inlineStr">
        <is>
          <t>200 Free</t>
        </is>
      </c>
      <c r="D26" s="288" t="n">
        <v>0.001982060185185185</v>
      </c>
      <c r="E26" s="266" t="n">
        <v>0.001855324074074074</v>
      </c>
      <c r="F26" s="266" t="n">
        <v>0.001997685185185185</v>
      </c>
      <c r="G26" s="267" t="inlineStr">
        <is>
          <t>C</t>
        </is>
      </c>
      <c r="H26" s="268" t="n">
        <v>4</v>
      </c>
      <c r="I26" s="264" t="n">
        <v>0.001670023148148148</v>
      </c>
      <c r="J26" s="264" t="n">
        <v>0.001753472222222222</v>
      </c>
      <c r="K26" s="262" t="inlineStr">
        <is>
          <t>—</t>
        </is>
      </c>
      <c r="L26" s="265" t="n">
        <v>7</v>
      </c>
    </row>
    <row r="27">
      <c r="B27" s="258" t="inlineStr">
        <is>
          <t>L</t>
        </is>
      </c>
      <c r="C27" s="259" t="inlineStr">
        <is>
          <t>400 Free</t>
        </is>
      </c>
      <c r="D27" s="260" t="n">
        <v>0.004314004629629629</v>
      </c>
      <c r="E27" s="264" t="n">
        <v>0.003935185185185185</v>
      </c>
      <c r="F27" s="264" t="n">
        <v>0.003966435185185185</v>
      </c>
      <c r="G27" s="262" t="inlineStr">
        <is>
          <t>—</t>
        </is>
      </c>
      <c r="H27" s="265" t="n"/>
      <c r="I27" s="264" t="n">
        <v>0.003540509259259259</v>
      </c>
      <c r="J27" s="264" t="n">
        <v>0.003717592592592593</v>
      </c>
      <c r="K27" s="262" t="inlineStr">
        <is>
          <t>—</t>
        </is>
      </c>
      <c r="L27" s="265" t="inlineStr">
        <is>
          <t>-</t>
        </is>
      </c>
    </row>
    <row r="28">
      <c r="B28" s="289" t="inlineStr">
        <is>
          <t>L</t>
        </is>
      </c>
      <c r="C28" s="290" t="inlineStr">
        <is>
          <t>800 Free</t>
        </is>
      </c>
      <c r="D28" s="291" t="n">
        <v>0.008239120370370371</v>
      </c>
      <c r="E28" s="269" t="n">
        <v>0.008711805555555556</v>
      </c>
      <c r="F28" s="269" t="n">
        <v>0.009234953703703704</v>
      </c>
      <c r="G28" s="270" t="inlineStr">
        <is>
          <t>Q</t>
        </is>
      </c>
      <c r="H28" s="271" t="n">
        <v>10</v>
      </c>
      <c r="I28" s="264" t="n">
        <v>0.007142824074074074</v>
      </c>
      <c r="J28" s="264" t="n">
        <v>0.0075</v>
      </c>
      <c r="K28" s="262" t="inlineStr">
        <is>
          <t>—</t>
        </is>
      </c>
      <c r="L28" s="265" t="n"/>
    </row>
    <row r="29">
      <c r="B29" s="258" t="inlineStr">
        <is>
          <t>L</t>
        </is>
      </c>
      <c r="C29" s="259" t="inlineStr">
        <is>
          <t>1500 Free</t>
        </is>
      </c>
      <c r="D29" s="260" t="inlineStr">
        <is>
          <t>-</t>
        </is>
      </c>
      <c r="E29" s="264" t="n">
        <v>0.01422916666666667</v>
      </c>
      <c r="F29" s="264" t="n">
        <v>0.01450925925925926</v>
      </c>
      <c r="G29" s="262" t="inlineStr">
        <is>
          <t>—</t>
        </is>
      </c>
      <c r="H29" s="265" t="n">
        <v>10</v>
      </c>
      <c r="I29" s="264" t="n">
        <v>0.01388888888888889</v>
      </c>
      <c r="J29" s="264" t="n">
        <v>0.01458333333333333</v>
      </c>
      <c r="K29" s="262" t="inlineStr">
        <is>
          <t>—</t>
        </is>
      </c>
      <c r="L29" s="265" t="n"/>
    </row>
    <row r="30">
      <c r="B30" s="289" t="inlineStr">
        <is>
          <t>L</t>
        </is>
      </c>
      <c r="C30" s="290" t="inlineStr">
        <is>
          <t>50 Back</t>
        </is>
      </c>
      <c r="D30" s="291" t="n">
        <v>0.0004355324074074074</v>
      </c>
      <c r="E30" s="269" t="n">
        <v>0.0004482638888888888</v>
      </c>
      <c r="F30" s="269" t="n">
        <v>0.0004778935185185185</v>
      </c>
      <c r="G30" s="270" t="inlineStr">
        <is>
          <t>Q</t>
        </is>
      </c>
      <c r="H30" s="271" t="n">
        <v>5</v>
      </c>
      <c r="I30" s="264" t="n">
        <v>0.0004144675925925926</v>
      </c>
      <c r="J30" s="264" t="n">
        <v>0.0004351851851851852</v>
      </c>
      <c r="K30" s="262" t="inlineStr">
        <is>
          <t>—</t>
        </is>
      </c>
      <c r="L30" s="265" t="n">
        <v>6</v>
      </c>
    </row>
    <row r="31">
      <c r="B31" s="289" t="inlineStr">
        <is>
          <t>L</t>
        </is>
      </c>
      <c r="C31" s="290" t="inlineStr">
        <is>
          <t>100 Back</t>
        </is>
      </c>
      <c r="D31" s="291" t="n">
        <v>0.0009635416666666667</v>
      </c>
      <c r="E31" s="269" t="n">
        <v>0.000982638888888889</v>
      </c>
      <c r="F31" s="269" t="n">
        <v>0.001040509259259259</v>
      </c>
      <c r="G31" s="270" t="inlineStr">
        <is>
          <t>Q</t>
        </is>
      </c>
      <c r="H31" s="271" t="n">
        <v>4</v>
      </c>
      <c r="I31" s="264" t="n">
        <v>0.0008928240740740741</v>
      </c>
      <c r="J31" s="264" t="n">
        <v>0.0009375</v>
      </c>
      <c r="K31" s="262" t="inlineStr">
        <is>
          <t>—</t>
        </is>
      </c>
      <c r="L31" s="265" t="n">
        <v>7</v>
      </c>
    </row>
    <row r="32">
      <c r="B32" s="289" t="inlineStr">
        <is>
          <t>L</t>
        </is>
      </c>
      <c r="C32" s="290" t="inlineStr">
        <is>
          <t>200 Back</t>
        </is>
      </c>
      <c r="D32" s="291" t="n">
        <v>0.002053472222222222</v>
      </c>
      <c r="E32" s="269" t="n">
        <v>0.002116898148148148</v>
      </c>
      <c r="F32" s="269" t="n">
        <v>0.00221875</v>
      </c>
      <c r="G32" s="270" t="inlineStr">
        <is>
          <t>Q</t>
        </is>
      </c>
      <c r="H32" s="271" t="inlineStr">
        <is>
          <t>-</t>
        </is>
      </c>
      <c r="I32" s="264" t="n">
        <v>0.001889351851851852</v>
      </c>
      <c r="J32" s="264" t="n">
        <v>0.001983796296296296</v>
      </c>
      <c r="K32" s="262" t="inlineStr">
        <is>
          <t>—</t>
        </is>
      </c>
      <c r="L32" s="265" t="inlineStr">
        <is>
          <t>-</t>
        </is>
      </c>
    </row>
    <row r="33">
      <c r="B33" s="258" t="inlineStr">
        <is>
          <t>L</t>
        </is>
      </c>
      <c r="C33" s="259" t="inlineStr">
        <is>
          <t>50 Breast</t>
        </is>
      </c>
      <c r="D33" s="260" t="n">
        <v>0.0006391203703703704</v>
      </c>
      <c r="E33" s="264" t="n">
        <v>0.0005018518518518519</v>
      </c>
      <c r="F33" s="264" t="n">
        <v>0.0005436342592592592</v>
      </c>
      <c r="G33" s="262" t="inlineStr">
        <is>
          <t>—</t>
        </is>
      </c>
      <c r="H33" s="265" t="n">
        <v>15</v>
      </c>
      <c r="I33" s="264" t="n">
        <v>0.0004673611111111112</v>
      </c>
      <c r="J33" s="264" t="n">
        <v>0.0004907407407407407</v>
      </c>
      <c r="K33" s="262" t="inlineStr">
        <is>
          <t>—</t>
        </is>
      </c>
      <c r="L33" s="265" t="n">
        <v>27</v>
      </c>
    </row>
    <row r="34">
      <c r="B34" s="258" t="inlineStr">
        <is>
          <t>L</t>
        </is>
      </c>
      <c r="C34" s="259" t="inlineStr">
        <is>
          <t>100 Breast</t>
        </is>
      </c>
      <c r="D34" s="260" t="inlineStr">
        <is>
          <t>-</t>
        </is>
      </c>
      <c r="E34" s="264" t="n">
        <v>0.00112037037037037</v>
      </c>
      <c r="F34" s="264" t="n">
        <v>0.001197916666666667</v>
      </c>
      <c r="G34" s="262" t="inlineStr">
        <is>
          <t>—</t>
        </is>
      </c>
      <c r="H34" s="265" t="inlineStr">
        <is>
          <t>-</t>
        </is>
      </c>
      <c r="I34" s="264" t="n">
        <v>0.001039467592592593</v>
      </c>
      <c r="J34" s="264" t="n">
        <v>0.001091435185185185</v>
      </c>
      <c r="K34" s="262" t="inlineStr">
        <is>
          <t>—</t>
        </is>
      </c>
      <c r="L34" s="265" t="inlineStr">
        <is>
          <t>-</t>
        </is>
      </c>
    </row>
    <row r="35">
      <c r="B35" s="258" t="inlineStr">
        <is>
          <t>L</t>
        </is>
      </c>
      <c r="C35" s="259" t="inlineStr">
        <is>
          <t>200 Breast</t>
        </is>
      </c>
      <c r="D35" s="260" t="inlineStr">
        <is>
          <t>-</t>
        </is>
      </c>
      <c r="E35" s="264" t="n">
        <v>0.002413194444444444</v>
      </c>
      <c r="F35" s="264" t="n">
        <v>0.002569444444444445</v>
      </c>
      <c r="G35" s="262" t="inlineStr">
        <is>
          <t>—</t>
        </is>
      </c>
      <c r="H35" s="265" t="n">
        <v>10</v>
      </c>
      <c r="I35" s="264" t="n">
        <v>0.002220023148148148</v>
      </c>
      <c r="J35" s="264" t="n">
        <v>0.002331018518518519</v>
      </c>
      <c r="K35" s="262" t="inlineStr">
        <is>
          <t>—</t>
        </is>
      </c>
      <c r="L35" s="265" t="n"/>
    </row>
    <row r="36">
      <c r="B36" s="289" t="inlineStr">
        <is>
          <t>L</t>
        </is>
      </c>
      <c r="C36" s="290" t="inlineStr">
        <is>
          <t>50 Fly</t>
        </is>
      </c>
      <c r="D36" s="291" t="n">
        <v>0.0004146990740740741</v>
      </c>
      <c r="E36" s="269" t="n">
        <v>0.0004241898148148148</v>
      </c>
      <c r="F36" s="269" t="n">
        <v>0.0004715277777777778</v>
      </c>
      <c r="G36" s="270" t="inlineStr">
        <is>
          <t>Q</t>
        </is>
      </c>
      <c r="H36" s="271" t="n">
        <v>7</v>
      </c>
      <c r="I36" s="264" t="n">
        <v>0.0003946759259259259</v>
      </c>
      <c r="J36" s="264" t="n">
        <v>0.0004143518518518518</v>
      </c>
      <c r="K36" s="262" t="inlineStr">
        <is>
          <t>—</t>
        </is>
      </c>
      <c r="L36" s="265" t="n">
        <v>6</v>
      </c>
    </row>
    <row r="37">
      <c r="B37" s="289" t="inlineStr">
        <is>
          <t>L</t>
        </is>
      </c>
      <c r="C37" s="290" t="inlineStr">
        <is>
          <t>100 Fly</t>
        </is>
      </c>
      <c r="D37" s="291" t="n">
        <v>0.0009780092592592592</v>
      </c>
      <c r="E37" s="269" t="n">
        <v>0.001012731481481481</v>
      </c>
      <c r="F37" s="269" t="n">
        <v>0.001162037037037037</v>
      </c>
      <c r="G37" s="270" t="inlineStr">
        <is>
          <t>Q</t>
        </is>
      </c>
      <c r="H37" s="271" t="n">
        <v>4</v>
      </c>
      <c r="I37" s="264" t="n">
        <v>0.0009071759259259259</v>
      </c>
      <c r="J37" s="264" t="n">
        <v>0.0009525462962962963</v>
      </c>
      <c r="K37" s="262" t="inlineStr">
        <is>
          <t>—</t>
        </is>
      </c>
      <c r="L37" s="265" t="n">
        <v>7</v>
      </c>
    </row>
    <row r="38">
      <c r="B38" s="289" t="inlineStr">
        <is>
          <t>L</t>
        </is>
      </c>
      <c r="C38" s="290" t="inlineStr">
        <is>
          <t>200 Fly</t>
        </is>
      </c>
      <c r="D38" s="291" t="n">
        <v>0.002275462962962963</v>
      </c>
      <c r="E38" s="269" t="n">
        <v>0.002619212962962963</v>
      </c>
      <c r="F38" s="269" t="n">
        <v>0.003076388888888889</v>
      </c>
      <c r="G38" s="270" t="inlineStr">
        <is>
          <t>Q</t>
        </is>
      </c>
      <c r="H38" s="271" t="n"/>
      <c r="I38" s="264" t="n">
        <v>0.002119675925925926</v>
      </c>
      <c r="J38" s="264" t="n">
        <v>0.002225694444444445</v>
      </c>
      <c r="K38" s="262" t="inlineStr">
        <is>
          <t>—</t>
        </is>
      </c>
      <c r="L38" s="265" t="n"/>
    </row>
    <row r="39">
      <c r="B39" s="286" t="inlineStr">
        <is>
          <t>L</t>
        </is>
      </c>
      <c r="C39" s="287" t="inlineStr">
        <is>
          <t>200 IM</t>
        </is>
      </c>
      <c r="D39" s="288" t="n">
        <v>0.002169907407407407</v>
      </c>
      <c r="E39" s="266" t="n">
        <v>0.002101851851851852</v>
      </c>
      <c r="F39" s="266" t="n">
        <v>0.002234953703703704</v>
      </c>
      <c r="G39" s="267" t="inlineStr">
        <is>
          <t>C</t>
        </is>
      </c>
      <c r="H39" s="268" t="inlineStr">
        <is>
          <t>-</t>
        </is>
      </c>
      <c r="I39" s="264" t="n">
        <v>0.001906944444444444</v>
      </c>
      <c r="J39" s="264" t="n">
        <v>0.002002314814814815</v>
      </c>
      <c r="K39" s="262" t="inlineStr">
        <is>
          <t>—</t>
        </is>
      </c>
      <c r="L39" s="265" t="inlineStr">
        <is>
          <t>-</t>
        </is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selection activeCell="C6" sqref="C6"/>
    </sheetView>
  </sheetViews>
  <sheetFormatPr baseColWidth="10" defaultRowHeight="16"/>
  <cols>
    <col width="10.83203125" customWidth="1" style="224" min="3" max="3"/>
  </cols>
  <sheetData>
    <row r="2">
      <c r="B2" t="n">
        <v>1</v>
      </c>
      <c r="C2" t="inlineStr">
        <is>
          <t xml:space="preserve">County times for 2024 are listed below, our county is Middlesex and Region London.  Competing year is age at 31-Dec.  There are different times for short and long courses.  Times will be updated in 2025, so the will likely change slightly.  </t>
        </is>
      </c>
    </row>
    <row r="3">
      <c r="B3" t="n">
        <v>2</v>
      </c>
      <c r="C3" t="inlineStr">
        <is>
          <t>You can substitute times in the spreadsheet with the 12 year times form the listings below.</t>
        </is>
      </c>
    </row>
    <row r="4">
      <c r="B4" t="n">
        <v>3</v>
      </c>
      <c r="C4" t="inlineStr">
        <is>
          <t>You can get current PBs from team unify, I use the OnDeck app that has all future meets and PBs</t>
        </is>
      </c>
    </row>
    <row r="5">
      <c r="B5" t="n">
        <v>4</v>
      </c>
      <c r="C5" t="inlineStr">
        <is>
          <t xml:space="preserve">You can get county, regional and national rankings from swim England  if you want to track </t>
        </is>
      </c>
    </row>
    <row r="6">
      <c r="C6" s="82" t="inlineStr">
        <is>
          <t>Link to swim England</t>
        </is>
      </c>
    </row>
    <row r="7">
      <c r="B7" t="n">
        <v>5</v>
      </c>
      <c r="C7" t="inlineStr">
        <is>
          <t>Make sure you enter time in the PB column and in the county and regional columns in MM:SS.00</t>
        </is>
      </c>
    </row>
    <row r="11" customFormat="1" s="1">
      <c r="B11" s="1" t="inlineStr">
        <is>
          <t>Middlesex qualifying times 2024 (these will change next year)</t>
        </is>
      </c>
    </row>
    <row r="32" customFormat="1" s="1">
      <c r="B32" s="1" t="inlineStr">
        <is>
          <t>London Regional Qualifying times 2024</t>
        </is>
      </c>
    </row>
    <row r="34" customFormat="1" s="1">
      <c r="B34" s="1" t="inlineStr">
        <is>
          <t>Long Course</t>
        </is>
      </c>
      <c r="N34" s="1" t="inlineStr">
        <is>
          <t>Short Course</t>
        </is>
      </c>
    </row>
  </sheetData>
  <hyperlinks>
    <hyperlink xmlns:r="http://schemas.openxmlformats.org/officeDocument/2006/relationships" ref="C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E37"/>
  <sheetViews>
    <sheetView showGridLines="0" zoomScale="110" zoomScaleNormal="11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4" sqref="M4"/>
    </sheetView>
  </sheetViews>
  <sheetFormatPr baseColWidth="10" defaultRowHeight="16"/>
  <cols>
    <col width="12.1640625" bestFit="1" customWidth="1" style="1" min="2" max="2"/>
    <col width="13.33203125" customWidth="1" style="224" min="3" max="3"/>
    <col width="11.1640625" bestFit="1" customWidth="1" style="2" min="4" max="4"/>
    <col width="13.6640625" bestFit="1" customWidth="1" style="2" min="5" max="5"/>
    <col width="16.6640625" bestFit="1" customWidth="1" style="11" min="6" max="6"/>
    <col width="13" customWidth="1" style="2" min="7" max="7"/>
    <col width="14" customWidth="1" style="3" min="8" max="8"/>
    <col width="6" customWidth="1" style="3" min="9" max="9"/>
    <col width="13" customWidth="1" style="3" min="10" max="10"/>
    <col width="12" customWidth="1" style="2" min="11" max="11"/>
    <col width="12" customWidth="1" style="4" min="12" max="12"/>
    <col width="12" customWidth="1" style="2" min="13" max="13"/>
    <col width="15.6640625" customWidth="1" style="2" min="14" max="14"/>
    <col width="12" customWidth="1" style="3" min="15" max="15"/>
    <col hidden="1" width="16.33203125" customWidth="1" style="2" min="16" max="17"/>
    <col hidden="1" width="16.33203125" customWidth="1" style="224" min="18" max="18"/>
    <col hidden="1" width="14.5" customWidth="1" style="2" min="19" max="20"/>
    <col hidden="1" width="14.5" customWidth="1" style="98" min="21" max="27"/>
    <col width="14.5" customWidth="1" style="98" min="28" max="30"/>
  </cols>
  <sheetData>
    <row r="1" ht="17" customHeight="1" s="224" thickBot="1"/>
    <row r="2" ht="17" customFormat="1" customHeight="1" s="1" thickBot="1">
      <c r="D2" s="215" t="inlineStr">
        <is>
          <t>PBs</t>
        </is>
      </c>
      <c r="E2" s="216" t="n"/>
      <c r="F2" s="217" t="n"/>
      <c r="G2" s="219" t="inlineStr">
        <is>
          <t>County 2025</t>
        </is>
      </c>
      <c r="H2" s="216" t="n"/>
      <c r="I2" s="216" t="n"/>
      <c r="J2" s="217" t="n"/>
      <c r="K2" s="215" t="inlineStr">
        <is>
          <t>Regional 2026</t>
        </is>
      </c>
      <c r="L2" s="216" t="n"/>
      <c r="M2" s="216" t="n"/>
      <c r="N2" s="216" t="n"/>
      <c r="O2" s="217" t="n"/>
      <c r="P2" s="218" t="inlineStr">
        <is>
          <t xml:space="preserve">Future Meets </t>
        </is>
      </c>
      <c r="Q2" s="216" t="n"/>
      <c r="R2" s="216" t="n"/>
      <c r="S2" s="216" t="n"/>
      <c r="T2" s="216" t="n"/>
      <c r="U2" s="216" t="n"/>
      <c r="V2" s="216" t="n"/>
      <c r="W2" s="216" t="n"/>
      <c r="X2" s="216" t="n"/>
      <c r="Y2" s="216" t="n"/>
      <c r="Z2" s="216" t="n"/>
      <c r="AA2" s="216" t="n"/>
      <c r="AB2" s="216" t="n"/>
      <c r="AC2" s="216" t="n"/>
      <c r="AD2" s="217" t="n"/>
    </row>
    <row r="3" ht="34" customFormat="1" customHeight="1" s="10" thickBot="1">
      <c r="B3" s="8" t="inlineStr">
        <is>
          <t>Course</t>
        </is>
      </c>
      <c r="C3" s="9" t="inlineStr">
        <is>
          <t>Stroke</t>
        </is>
      </c>
      <c r="D3" s="42" t="inlineStr">
        <is>
          <t>PB</t>
        </is>
      </c>
      <c r="E3" s="43" t="inlineStr">
        <is>
          <t>Obtained</t>
        </is>
      </c>
      <c r="F3" s="43" t="inlineStr">
        <is>
          <t>Nat. Ranking</t>
        </is>
      </c>
      <c r="G3" s="17" t="inlineStr">
        <is>
          <t>County QT</t>
        </is>
      </c>
      <c r="H3" s="18" t="inlineStr">
        <is>
          <t>Difference</t>
        </is>
      </c>
      <c r="I3" s="83" t="inlineStr">
        <is>
          <t>Qual</t>
        </is>
      </c>
      <c r="J3" s="19" t="inlineStr">
        <is>
          <t>Ranking</t>
        </is>
      </c>
      <c r="K3" s="27" t="inlineStr">
        <is>
          <t>RegionalQT</t>
        </is>
      </c>
      <c r="L3" s="28" t="inlineStr">
        <is>
          <t>Difference</t>
        </is>
      </c>
      <c r="M3" s="27" t="inlineStr">
        <is>
          <t>Regional Cons</t>
        </is>
      </c>
      <c r="N3" s="113" t="inlineStr">
        <is>
          <t>Cons 
Difference</t>
        </is>
      </c>
      <c r="O3" s="29" t="inlineStr">
        <is>
          <t>Ranking</t>
        </is>
      </c>
      <c r="P3" s="57" t="inlineStr">
        <is>
          <t>N&amp;UEL
23/24 March</t>
        </is>
      </c>
      <c r="Q3" s="60" t="inlineStr">
        <is>
          <t>Junior Arena 1
18 May</t>
        </is>
      </c>
      <c r="R3" s="85" t="inlineStr">
        <is>
          <t>Junior Arena 
Finals 15/9</t>
        </is>
      </c>
      <c r="S3" s="60" t="inlineStr">
        <is>
          <t>BWFSC
Autumn 22/9</t>
        </is>
      </c>
      <c r="T3" s="60" t="inlineStr">
        <is>
          <t>Saxon Crown
6/10</t>
        </is>
      </c>
      <c r="U3" s="60" t="inlineStr">
        <is>
          <t>Club Champs (23-Nov)</t>
        </is>
      </c>
      <c r="V3" s="60" t="inlineStr">
        <is>
          <t>Ealing  
(7/8 Dec)</t>
        </is>
      </c>
      <c r="W3" s="108" t="inlineStr">
        <is>
          <t xml:space="preserve"> Ealing 
(18/1)</t>
        </is>
      </c>
      <c r="X3" s="109" t="inlineStr">
        <is>
          <t xml:space="preserve"> County Champs (Feb 8-9) </t>
        </is>
      </c>
      <c r="Y3" s="109" t="inlineStr">
        <is>
          <t xml:space="preserve"> County Champs (Feb 15-16) </t>
        </is>
      </c>
      <c r="Z3" s="58" t="inlineStr">
        <is>
          <t xml:space="preserve"> RRSC 
(Mar 22-23) </t>
        </is>
      </c>
      <c r="AA3" s="58" t="inlineStr">
        <is>
          <t xml:space="preserve"> Ealing  
(April 17) </t>
        </is>
      </c>
      <c r="AB3" s="58" t="inlineStr">
        <is>
          <t xml:space="preserve"> Gators  
(June 22) -L</t>
        </is>
      </c>
      <c r="AC3" s="58" t="inlineStr">
        <is>
          <t xml:space="preserve"> Summer Splash  
(July  12-13) -S</t>
        </is>
      </c>
      <c r="AD3" s="58" t="inlineStr">
        <is>
          <t xml:space="preserve"> Summer Splash  
(Oct  4-5) -L</t>
        </is>
      </c>
      <c r="AE3" s="93" t="n"/>
    </row>
    <row r="4">
      <c r="B4" s="13" t="inlineStr">
        <is>
          <t>S</t>
        </is>
      </c>
      <c r="C4" s="6" t="inlineStr">
        <is>
          <t>50 Free</t>
        </is>
      </c>
      <c r="D4" s="31" t="n">
        <v>0.0004033564814814815</v>
      </c>
      <c r="E4" s="44" t="n">
        <v>45787</v>
      </c>
      <c r="F4" s="48" t="inlineStr">
        <is>
          <t>100+</t>
        </is>
      </c>
      <c r="G4" s="20" t="n">
        <v>0.0003743055555555556</v>
      </c>
      <c r="H4" s="21">
        <f>IFERROR(IF(G4-D4&gt;0, TEXT(ABS(G4-D4), "MM:SS.00"), "-" &amp; TEXT(ABS(G4-D4), "MM:SS.00")),"-")</f>
        <v/>
      </c>
      <c r="I4" s="89" t="n"/>
      <c r="J4" s="51" t="n">
        <v>13</v>
      </c>
      <c r="K4" s="30" t="n">
        <v>0.000349537037037037</v>
      </c>
      <c r="L4" s="80">
        <f>IFERROR(IF(K4-D4&gt;0, K4-D4, "-" &amp; TEXT(ABS(K4-D4), "MM:SS.00")), "-")</f>
        <v/>
      </c>
      <c r="M4" s="30" t="n">
        <v>0.0003680555555555556</v>
      </c>
      <c r="N4" s="84">
        <f>IFERROR(IF(M4-D4&gt;0, M4-D4, "-" &amp; TEXT(ABS(M4-D4), "MM:SS.00")), "-")</f>
        <v/>
      </c>
      <c r="O4" s="54" t="n">
        <v>52</v>
      </c>
      <c r="P4" s="38" t="n"/>
      <c r="Q4" s="38" t="n"/>
      <c r="R4" s="86" t="n"/>
      <c r="S4" s="81" t="n"/>
      <c r="T4" s="66" t="n"/>
      <c r="U4" s="101" t="n"/>
      <c r="V4" s="101" t="inlineStr">
        <is>
          <t>S2-1</t>
        </is>
      </c>
      <c r="W4" s="99" t="n"/>
      <c r="X4" s="101" t="inlineStr">
        <is>
          <t>S2-3C</t>
        </is>
      </c>
      <c r="Y4" s="101" t="n"/>
      <c r="Z4" s="63" t="inlineStr">
        <is>
          <t>S1-3</t>
        </is>
      </c>
      <c r="AA4" s="63" t="inlineStr">
        <is>
          <t>S1-1</t>
        </is>
      </c>
      <c r="AB4" s="63" t="n"/>
      <c r="AC4" s="63" t="inlineStr">
        <is>
          <t>S2-1</t>
        </is>
      </c>
      <c r="AD4" s="63" t="inlineStr">
        <is>
          <t>S4-3</t>
        </is>
      </c>
    </row>
    <row r="5">
      <c r="B5" s="14" t="inlineStr">
        <is>
          <t>S</t>
        </is>
      </c>
      <c r="C5" s="5" t="inlineStr">
        <is>
          <t>100 Free</t>
        </is>
      </c>
      <c r="D5" s="33" t="n">
        <v>0.0009023148148148148</v>
      </c>
      <c r="E5" s="45" t="n">
        <v>45851</v>
      </c>
      <c r="F5" s="49" t="inlineStr">
        <is>
          <t>100+</t>
        </is>
      </c>
      <c r="G5" s="22" t="n">
        <v>0.0008383101851851853</v>
      </c>
      <c r="H5" s="23">
        <f>IFERROR(IF(G5-D5&gt;0, TEXT(ABS(G5-D5), "MM:SS.00"), "-" &amp; TEXT(ABS(G5-D5), "MM:SS.00")),"-")</f>
        <v/>
      </c>
      <c r="I5" s="90" t="n"/>
      <c r="J5" s="52" t="n">
        <v>17</v>
      </c>
      <c r="K5" s="32" t="n">
        <v>0.0007743055555555556</v>
      </c>
      <c r="L5" s="34">
        <f>IFERROR(IF(K5-D5&gt;0, K5-D5, "-" &amp; TEXT(ABS(K5-D5), "MM:SS.00")), "-")</f>
        <v/>
      </c>
      <c r="M5" s="32" t="n">
        <v>0.0008136574074074074</v>
      </c>
      <c r="N5" s="84">
        <f>IFERROR(IF(M5-D5&gt;0, M5-D5, "-" &amp; TEXT(ABS(M5-D5), "MM:SS.00")), "-")</f>
        <v/>
      </c>
      <c r="O5" s="55" t="n">
        <v>44</v>
      </c>
      <c r="P5" s="39" t="n"/>
      <c r="Q5" s="39" t="n"/>
      <c r="R5" s="40" t="n"/>
      <c r="S5" s="61" t="n"/>
      <c r="T5" s="66" t="n"/>
      <c r="U5" s="102" t="n"/>
      <c r="V5" s="102" t="inlineStr">
        <is>
          <t>S1-3</t>
        </is>
      </c>
      <c r="W5" s="95" t="inlineStr">
        <is>
          <t>S1-2</t>
        </is>
      </c>
      <c r="X5" s="102" t="n"/>
      <c r="Y5" s="102" t="inlineStr">
        <is>
          <t>S5-3C</t>
        </is>
      </c>
      <c r="Z5" s="64" t="inlineStr">
        <is>
          <t>S3-1</t>
        </is>
      </c>
      <c r="AA5" s="64" t="n"/>
      <c r="AB5" s="64" t="inlineStr">
        <is>
          <t>S2-2</t>
        </is>
      </c>
      <c r="AC5" s="64" t="inlineStr">
        <is>
          <t>S1-3</t>
        </is>
      </c>
      <c r="AD5" s="64" t="inlineStr">
        <is>
          <t>S4-2</t>
        </is>
      </c>
    </row>
    <row r="6">
      <c r="B6" s="14" t="inlineStr">
        <is>
          <t>S</t>
        </is>
      </c>
      <c r="C6" s="5" t="inlineStr">
        <is>
          <t>200 Free</t>
        </is>
      </c>
      <c r="D6" s="33" t="n">
        <v>0.002025</v>
      </c>
      <c r="E6" s="45" t="n">
        <v>45635</v>
      </c>
      <c r="F6" s="49" t="inlineStr">
        <is>
          <t>100+</t>
        </is>
      </c>
      <c r="G6" s="22" t="n">
        <v>0.001870601851851852</v>
      </c>
      <c r="H6" s="23">
        <f>IFERROR(IF(G6-D6&gt;0, TEXT(ABS(G6-D6), "MM:SS.00"), "-" &amp; TEXT(ABS(G6-D6), "MM:SS.00")),"-")</f>
        <v/>
      </c>
      <c r="I6" s="90" t="n"/>
      <c r="J6" s="52" t="n">
        <v>17</v>
      </c>
      <c r="K6" s="32" t="n">
        <v>0.001642361111111111</v>
      </c>
      <c r="L6" s="34">
        <f>IFERROR(IF(K6-D6&gt;0, K6-D6, "-" &amp; TEXT(ABS(K6-D6), "MM:SS.00")), "-")</f>
        <v/>
      </c>
      <c r="M6" s="32" t="n">
        <v>0.001726851851851852</v>
      </c>
      <c r="N6" s="84">
        <f>IFERROR(IF(M6-D6&gt;0, M6-D6, "-" &amp; TEXT(ABS(M6-D6), "MM:SS.00")), "-")</f>
        <v/>
      </c>
      <c r="O6" s="55" t="n">
        <v>31</v>
      </c>
      <c r="P6" s="39" t="n"/>
      <c r="Q6" s="39" t="n"/>
      <c r="R6" s="40" t="n"/>
      <c r="S6" s="61" t="n"/>
      <c r="T6" s="66" t="n"/>
      <c r="U6" s="102" t="inlineStr">
        <is>
          <t>S1-1</t>
        </is>
      </c>
      <c r="V6" s="102" t="inlineStr">
        <is>
          <t>S4-2</t>
        </is>
      </c>
      <c r="W6" s="95" t="n"/>
      <c r="X6" s="102" t="n"/>
      <c r="Y6" s="102" t="inlineStr">
        <is>
          <t>S6-4C</t>
        </is>
      </c>
      <c r="Z6" s="64" t="inlineStr">
        <is>
          <t>S2-1</t>
        </is>
      </c>
      <c r="AA6" s="64" t="n"/>
      <c r="AB6" s="64" t="n"/>
      <c r="AC6" s="64" t="inlineStr">
        <is>
          <t>S4-2</t>
        </is>
      </c>
      <c r="AD6" s="64" t="n"/>
    </row>
    <row r="7">
      <c r="B7" s="14" t="inlineStr">
        <is>
          <t>S</t>
        </is>
      </c>
      <c r="C7" s="5" t="inlineStr">
        <is>
          <t>400 Free</t>
        </is>
      </c>
      <c r="D7" s="33" t="n">
        <v>0.004064814814814815</v>
      </c>
      <c r="E7" s="45" t="n">
        <v>45851</v>
      </c>
      <c r="F7" s="49" t="n">
        <v>97</v>
      </c>
      <c r="G7" s="22" t="n">
        <v>0.003828472222222222</v>
      </c>
      <c r="H7" s="23">
        <f>IFERROR(IF(G7-D7&gt;0, TEXT(ABS(G7-D7), "MM:SS.00"), "-" &amp; TEXT(ABS(G7-D7), "MM:SS.00")),"-")</f>
        <v/>
      </c>
      <c r="I7" s="90" t="n"/>
      <c r="J7" s="52" t="n">
        <v>10</v>
      </c>
      <c r="K7" s="32" t="n">
        <v>0.003487268518518518</v>
      </c>
      <c r="L7" s="34">
        <f>IFERROR(IF(K7-D7&gt;0, K7-D7, "-" &amp; TEXT(ABS(K7-D7), "MM:SS.00")), "-")</f>
        <v/>
      </c>
      <c r="M7" s="32" t="n">
        <v>0.003666666666666667</v>
      </c>
      <c r="N7" s="84">
        <f>IFERROR(IF(M7-D7&gt;0, M7-D7, "-" &amp; TEXT(ABS(M7-D7), "MM:SS.00")), "-")</f>
        <v/>
      </c>
      <c r="O7" s="55" t="n">
        <v>19</v>
      </c>
      <c r="P7" s="39" t="n"/>
      <c r="Q7" s="39" t="n"/>
      <c r="R7" s="40" t="n"/>
      <c r="S7" s="61" t="n"/>
      <c r="T7" s="66" t="n"/>
      <c r="U7" s="102" t="n"/>
      <c r="V7" s="102" t="inlineStr">
        <is>
          <t>S1-1</t>
        </is>
      </c>
      <c r="W7" s="95" t="n"/>
      <c r="X7" s="102" t="inlineStr">
        <is>
          <t>S3-4C</t>
        </is>
      </c>
      <c r="Y7" s="102" t="n"/>
      <c r="Z7" s="64" t="inlineStr">
        <is>
          <t>S4-1</t>
        </is>
      </c>
      <c r="AA7" s="64" t="n"/>
      <c r="AB7" s="64" t="n"/>
      <c r="AC7" s="64" t="inlineStr">
        <is>
          <t>S1-1</t>
        </is>
      </c>
      <c r="AD7" s="64" t="n"/>
    </row>
    <row r="8">
      <c r="A8" s="4" t="n"/>
      <c r="B8" s="14" t="inlineStr">
        <is>
          <t>S</t>
        </is>
      </c>
      <c r="C8" s="5" t="inlineStr">
        <is>
          <t>50 Back</t>
        </is>
      </c>
      <c r="D8" s="33" t="n">
        <v>0.0004322916666666667</v>
      </c>
      <c r="E8" s="45" t="n">
        <v>45851</v>
      </c>
      <c r="F8" s="49" t="n">
        <v>73</v>
      </c>
      <c r="G8" s="22" t="n">
        <v>0.0004435185185185185</v>
      </c>
      <c r="H8" s="23">
        <f>IFERROR(IF(G8-D8&gt;0, TEXT(ABS(G8-D8), "MM:SS.00"), "-" &amp; TEXT(ABS(G8-D8), "MM:SS.00")),"-")</f>
        <v/>
      </c>
      <c r="I8" s="90">
        <f>IF(D8&lt;=G8,"X",IF(D21&lt;=G21,"X",""))</f>
        <v/>
      </c>
      <c r="J8" s="52" t="n">
        <v>3</v>
      </c>
      <c r="K8" s="32" t="n">
        <v>0.0004166666666666667</v>
      </c>
      <c r="L8" s="34">
        <f>IFERROR(IF(K8-D8&gt;0, K8-D8, "-" &amp; TEXT(ABS(K8-D8), "MM:SS.00")), "-")</f>
        <v/>
      </c>
      <c r="M8" s="32" t="n">
        <v>0.0004386574074074074</v>
      </c>
      <c r="N8" s="84">
        <f>IFERROR(IF(M8-D8&gt;0, M8-D8, "-" &amp; TEXT(ABS(M8-D8), "MM:SS.00")), "-")</f>
        <v/>
      </c>
      <c r="O8" s="55" t="n">
        <v>7</v>
      </c>
      <c r="P8" s="39" t="n"/>
      <c r="Q8" s="39" t="n"/>
      <c r="R8" s="40" t="n"/>
      <c r="S8" s="61" t="n"/>
      <c r="T8" s="66" t="n"/>
      <c r="U8" s="102" t="n"/>
      <c r="V8" s="102" t="inlineStr">
        <is>
          <t>S4-1</t>
        </is>
      </c>
      <c r="W8" s="95" t="inlineStr">
        <is>
          <t>S1-3</t>
        </is>
      </c>
      <c r="X8" s="102" t="inlineStr">
        <is>
          <t>S1-3</t>
        </is>
      </c>
      <c r="Y8" s="102" t="n"/>
      <c r="Z8" s="64" t="inlineStr">
        <is>
          <t>S2-2</t>
        </is>
      </c>
      <c r="AA8" s="64" t="n"/>
      <c r="AB8" s="64" t="inlineStr">
        <is>
          <t>S2-3</t>
        </is>
      </c>
      <c r="AC8" s="64" t="inlineStr">
        <is>
          <t>S4-1</t>
        </is>
      </c>
      <c r="AD8" s="64" t="inlineStr">
        <is>
          <t>S4-1</t>
        </is>
      </c>
    </row>
    <row r="9">
      <c r="B9" s="14" t="inlineStr">
        <is>
          <t>S</t>
        </is>
      </c>
      <c r="C9" s="5" t="inlineStr">
        <is>
          <t>100 Back</t>
        </is>
      </c>
      <c r="D9" s="33" t="n">
        <v>0.0009488425925925926</v>
      </c>
      <c r="E9" s="45" t="n">
        <v>45634</v>
      </c>
      <c r="F9" s="49" t="n">
        <v>53</v>
      </c>
      <c r="G9" s="22" t="n">
        <v>0.0009630787037037036</v>
      </c>
      <c r="H9" s="23">
        <f>IFERROR(IF(G9-D9&gt;0, TEXT(ABS(G9-D9), "MM:SS.00"), "-" &amp; TEXT(ABS(G9-D9), "MM:SS.00")),"-")</f>
        <v/>
      </c>
      <c r="I9" s="90">
        <f>IF(D9&lt;=G9,"X",IF(D22&lt;=G22,"X",""))</f>
        <v/>
      </c>
      <c r="J9" s="52" t="n">
        <v>4</v>
      </c>
      <c r="K9" s="32" t="n">
        <v>0.0009039351851851851</v>
      </c>
      <c r="L9" s="34">
        <f>IFERROR(IF(K9-D9&gt;0, K9-D9, "-" &amp; TEXT(ABS(K9-D9), "MM:SS.00")), "-")</f>
        <v/>
      </c>
      <c r="M9" s="32" t="n">
        <v>0.0009502314814814814</v>
      </c>
      <c r="N9" s="84">
        <f>IFERROR(IF(M9-D9&gt;0, M9-D9, "-" &amp; TEXT(ABS(M9-D9), "MM:SS.00")), "-")</f>
        <v/>
      </c>
      <c r="O9" s="55" t="n">
        <v>8</v>
      </c>
      <c r="P9" s="39" t="n"/>
      <c r="Q9" s="39" t="n"/>
      <c r="R9" s="40" t="n"/>
      <c r="S9" s="61" t="n"/>
      <c r="T9" s="66" t="n"/>
      <c r="U9" s="102" t="n"/>
      <c r="V9" s="102" t="inlineStr">
        <is>
          <t>S2-2</t>
        </is>
      </c>
      <c r="W9" s="95" t="n"/>
      <c r="X9" s="102" t="n"/>
      <c r="Y9" s="102" t="inlineStr">
        <is>
          <t>S6-2</t>
        </is>
      </c>
      <c r="Z9" s="64" t="inlineStr">
        <is>
          <t>S4-2</t>
        </is>
      </c>
      <c r="AA9" s="64" t="n"/>
      <c r="AB9" s="64" t="n"/>
      <c r="AC9" s="64" t="inlineStr">
        <is>
          <t>S2-2</t>
        </is>
      </c>
      <c r="AD9" s="64" t="inlineStr">
        <is>
          <t>S3-1</t>
        </is>
      </c>
    </row>
    <row r="10">
      <c r="B10" s="14" t="inlineStr">
        <is>
          <t>S</t>
        </is>
      </c>
      <c r="C10" s="5" t="inlineStr">
        <is>
          <t>200 Back</t>
        </is>
      </c>
      <c r="D10" s="33" t="n">
        <v>0.002037037037037037</v>
      </c>
      <c r="E10" s="45" t="n">
        <v>45851</v>
      </c>
      <c r="F10" s="49" t="inlineStr">
        <is>
          <t>100+</t>
        </is>
      </c>
      <c r="G10" s="22" t="n">
        <v>0.002046412037037037</v>
      </c>
      <c r="H10" s="23">
        <f>IFERROR(IF(G10-D10&gt;0, TEXT(ABS(G10-D10), "MM:SS.00"), "-" &amp; TEXT(ABS(G10-D10), "MM:SS.00")),"-")</f>
        <v/>
      </c>
      <c r="I10" s="90">
        <f>IF(D10&lt;=G10,"X",IF(D23&lt;=G23,"X",""))</f>
        <v/>
      </c>
      <c r="J10" s="52" t="n">
        <v>7</v>
      </c>
      <c r="K10" s="32" t="n">
        <v>0.001921296296296296</v>
      </c>
      <c r="L10" s="34">
        <f>IFERROR(IF(K10-D10&gt;0, K10-D10, "-" &amp; TEXT(ABS(K10-D10), "MM:SS.00")), "-")</f>
        <v/>
      </c>
      <c r="M10" s="32" t="n">
        <v>0.002019675925925926</v>
      </c>
      <c r="N10" s="84">
        <f>IFERROR(IF(M10-D10&gt;0, M10-D10, "-" &amp; TEXT(ABS(M10-D10), "MM:SS.00")), "-")</f>
        <v/>
      </c>
      <c r="O10" s="55" t="n"/>
      <c r="P10" s="39" t="n"/>
      <c r="Q10" s="39" t="n"/>
      <c r="R10" s="40" t="n"/>
      <c r="S10" s="61" t="n"/>
      <c r="T10" s="66" t="n"/>
      <c r="U10" s="102" t="n"/>
      <c r="V10" s="102" t="inlineStr">
        <is>
          <t>S3-2</t>
        </is>
      </c>
      <c r="W10" s="95" t="n"/>
      <c r="X10" s="102" t="n"/>
      <c r="Y10" s="102" t="inlineStr">
        <is>
          <t>S7-2</t>
        </is>
      </c>
      <c r="Z10" s="64" t="inlineStr">
        <is>
          <t>S1-1</t>
        </is>
      </c>
      <c r="AA10" s="64" t="n"/>
      <c r="AB10" s="64" t="n"/>
      <c r="AC10" s="64" t="inlineStr">
        <is>
          <t>S3-2</t>
        </is>
      </c>
      <c r="AD10" s="64" t="inlineStr">
        <is>
          <t>S1-2</t>
        </is>
      </c>
    </row>
    <row r="11">
      <c r="B11" s="14" t="inlineStr">
        <is>
          <t>S</t>
        </is>
      </c>
      <c r="C11" s="5" t="inlineStr">
        <is>
          <t>50 Breast</t>
        </is>
      </c>
      <c r="D11" s="33" t="n">
        <v>0.0005731481481481481</v>
      </c>
      <c r="E11" s="45" t="n">
        <v>45851</v>
      </c>
      <c r="F11" s="49" t="inlineStr">
        <is>
          <t>100+</t>
        </is>
      </c>
      <c r="G11" s="22" t="n">
        <v>0.0005184027777777778</v>
      </c>
      <c r="H11" s="23">
        <f>IFERROR(IF(G11-D11&gt;0, TEXT(ABS(G11-D11), "MM:SS.00"), "-" &amp; TEXT(ABS(G11-D11), "MM:SS.00")),"-")</f>
        <v/>
      </c>
      <c r="I11" s="90">
        <f>IF(D11&lt;=G11,"X",IF(D24&lt;=G24,"X",""))</f>
        <v/>
      </c>
      <c r="J11" s="52" t="n">
        <v>12</v>
      </c>
      <c r="K11" s="32" t="n">
        <v>0.0004710648148148148</v>
      </c>
      <c r="L11" s="34">
        <f>IFERROR(IF(K11-D11&gt;0, K11-D11, "-" &amp; TEXT(ABS(K11-D11), "MM:SS.00")), "-")</f>
        <v/>
      </c>
      <c r="M11" s="32" t="n">
        <v>0.0004965277777777778</v>
      </c>
      <c r="N11" s="84">
        <f>IFERROR(IF(M11-D11&gt;0, M11-D11, "-" &amp; TEXT(ABS(M11-D11), "MM:SS.00")), "-")</f>
        <v/>
      </c>
      <c r="O11" s="55" t="inlineStr">
        <is>
          <t>100+</t>
        </is>
      </c>
      <c r="P11" s="39" t="n"/>
      <c r="Q11" s="39" t="n"/>
      <c r="R11" s="40" t="n"/>
      <c r="S11" s="61" t="n"/>
      <c r="T11" s="66" t="n"/>
      <c r="U11" s="102" t="n"/>
      <c r="V11" s="102" t="inlineStr">
        <is>
          <t>S1-2</t>
        </is>
      </c>
      <c r="W11" s="95" t="n"/>
      <c r="X11" s="102" t="n"/>
      <c r="Y11" s="102" t="n"/>
      <c r="Z11" s="64" t="n"/>
      <c r="AA11" s="64" t="n"/>
      <c r="AB11" s="64" t="n"/>
      <c r="AC11" s="64" t="inlineStr">
        <is>
          <t>S1-2</t>
        </is>
      </c>
      <c r="AD11" s="64" t="n"/>
    </row>
    <row r="12">
      <c r="B12" s="14" t="inlineStr">
        <is>
          <t>S</t>
        </is>
      </c>
      <c r="C12" s="5" t="inlineStr">
        <is>
          <t>100 Breast</t>
        </is>
      </c>
      <c r="D12" s="33" t="n">
        <v>0.001230555555555555</v>
      </c>
      <c r="E12" s="45" t="n">
        <v>45787</v>
      </c>
      <c r="F12" s="49" t="inlineStr">
        <is>
          <t>100+</t>
        </is>
      </c>
      <c r="G12" s="22" t="n">
        <v>0.001115046296296296</v>
      </c>
      <c r="H12" s="23">
        <f>IFERROR(IF(G12-D12&gt;0, TEXT(ABS(G12-D12), "MM:SS.00"), "-" &amp; TEXT(ABS(G12-D12), "MM:SS.00")),"-")</f>
        <v/>
      </c>
      <c r="I12" s="90">
        <f>IF(D12&lt;=G12,"X",IF(D25&lt;=G25,"X",""))</f>
        <v/>
      </c>
      <c r="J12" s="52" t="n">
        <v>25</v>
      </c>
      <c r="K12" s="32" t="n">
        <v>0.001034722222222222</v>
      </c>
      <c r="L12" s="34">
        <f>IFERROR(IF(K12-D12&gt;0, K12-D12, "-" &amp; TEXT(ABS(K12-D12), "MM:SS.00")), "-")</f>
        <v/>
      </c>
      <c r="M12" s="32" t="n">
        <v>0.001087962962962963</v>
      </c>
      <c r="N12" s="84">
        <f>IFERROR(IF(M12-D12&gt;0, M12-D12, "-" &amp; TEXT(ABS(M12-D12), "MM:SS.00")), "-")</f>
        <v/>
      </c>
      <c r="O12" s="55" t="n">
        <v>54</v>
      </c>
      <c r="P12" s="39" t="n"/>
      <c r="Q12" s="39" t="n"/>
      <c r="R12" s="40" t="n"/>
      <c r="S12" s="61" t="n"/>
      <c r="T12" s="66" t="n"/>
      <c r="U12" s="102" t="n"/>
      <c r="V12" s="102" t="n"/>
      <c r="W12" s="95" t="n"/>
      <c r="X12" s="102" t="n"/>
      <c r="Y12" s="102" t="n"/>
      <c r="Z12" s="64" t="n"/>
      <c r="AA12" s="64" t="inlineStr">
        <is>
          <t>S1-2</t>
        </is>
      </c>
      <c r="AB12" s="64" t="n"/>
      <c r="AC12" s="64" t="n"/>
      <c r="AD12" s="64" t="n"/>
    </row>
    <row r="13">
      <c r="A13" s="4" t="n"/>
      <c r="B13" s="14" t="inlineStr">
        <is>
          <t>S</t>
        </is>
      </c>
      <c r="C13" s="5" t="inlineStr">
        <is>
          <t>50 Fly</t>
        </is>
      </c>
      <c r="D13" s="33" t="n">
        <v>0.000432175925925926</v>
      </c>
      <c r="E13" s="45" t="n">
        <v>45845</v>
      </c>
      <c r="F13" s="49" t="n">
        <v>63</v>
      </c>
      <c r="G13" s="22" t="n">
        <v>0.0004186342592592593</v>
      </c>
      <c r="H13" s="23">
        <f>IFERROR(IF(G13-D13&gt;0, TEXT(ABS(G13-D13), "MM:SS.00"), "-" &amp; TEXT(ABS(G13-D13), "MM:SS.00")),"-")</f>
        <v/>
      </c>
      <c r="I13" s="90">
        <f>IF(D13&lt;=G13,"X",IF(D26&lt;=G26,"X",""))</f>
        <v/>
      </c>
      <c r="J13" s="52" t="n">
        <v>6</v>
      </c>
      <c r="K13" s="32" t="n">
        <v>0.0003900462962962963</v>
      </c>
      <c r="L13" s="34">
        <f>IFERROR(IF(K13-D13&gt;0, K13-D13, "-" &amp; TEXT(ABS(K13-D13), "MM:SS.00")), "-")</f>
        <v/>
      </c>
      <c r="M13" s="32" t="n">
        <v>0.0004108796296296296</v>
      </c>
      <c r="N13" s="84">
        <f>IFERROR(IF(M13-D13&gt;0, M13-D13, "-" &amp; TEXT(ABS(M13-D13), "MM:SS.00")), "-")</f>
        <v/>
      </c>
      <c r="O13" s="55" t="n">
        <v>19</v>
      </c>
      <c r="P13" s="39" t="n"/>
      <c r="Q13" s="39" t="n"/>
      <c r="R13" s="40" t="n"/>
      <c r="S13" s="61" t="n"/>
      <c r="T13" s="66" t="n"/>
      <c r="U13" s="102" t="n"/>
      <c r="V13" s="102" t="inlineStr">
        <is>
          <t>S3-1</t>
        </is>
      </c>
      <c r="W13" s="95" t="inlineStr">
        <is>
          <t>S1-1</t>
        </is>
      </c>
      <c r="X13" s="102" t="inlineStr">
        <is>
          <t>S4-2</t>
        </is>
      </c>
      <c r="Y13" s="102" t="n"/>
      <c r="Z13" s="64" t="inlineStr">
        <is>
          <t>S3-2</t>
        </is>
      </c>
      <c r="AA13" s="64" t="n"/>
      <c r="AB13" s="64" t="n"/>
      <c r="AC13" s="64" t="inlineStr">
        <is>
          <t>S3-1</t>
        </is>
      </c>
      <c r="AD13" s="64" t="inlineStr">
        <is>
          <t>S1-1</t>
        </is>
      </c>
    </row>
    <row r="14">
      <c r="A14" s="12" t="n"/>
      <c r="B14" s="14" t="inlineStr">
        <is>
          <t>S</t>
        </is>
      </c>
      <c r="C14" s="5" t="inlineStr">
        <is>
          <t>100 Fly</t>
        </is>
      </c>
      <c r="D14" s="33" t="n">
        <v>0.001198726851851852</v>
      </c>
      <c r="E14" s="45" t="n">
        <v>45480</v>
      </c>
      <c r="F14" s="49" t="n">
        <v>65</v>
      </c>
      <c r="G14" s="22" t="n">
        <v>0.001007291666666667</v>
      </c>
      <c r="H14" s="23">
        <f>IFERROR(IF(G14-D14&gt;0, TEXT(ABS(G14-D14), "MM:SS.00"), "-" &amp; TEXT(ABS(G14-D14), "MM:SS.00")),"-")</f>
        <v/>
      </c>
      <c r="I14" s="90" t="n"/>
      <c r="J14" s="52" t="n">
        <v>15</v>
      </c>
      <c r="K14" s="32" t="n">
        <v>0.0008958333333333334</v>
      </c>
      <c r="L14" s="34">
        <f>IFERROR(IF(K14-D14&gt;0, K14-D14, "-" &amp; TEXT(ABS(K14-D14), "MM:SS.00")), "-")</f>
        <v/>
      </c>
      <c r="M14" s="32" t="n">
        <v>0.0009421296296296297</v>
      </c>
      <c r="N14" s="84">
        <f>IFERROR(IF(M14-D14&gt;0, M14-D14, "-" &amp; TEXT(ABS(M14-D14), "MM:SS.00")), "-")</f>
        <v/>
      </c>
      <c r="O14" s="55" t="n"/>
      <c r="P14" s="39" t="n"/>
      <c r="Q14" s="39" t="n"/>
      <c r="R14" s="40" t="n"/>
      <c r="S14" s="61" t="n"/>
      <c r="T14" s="66" t="n"/>
      <c r="U14" s="102" t="n"/>
      <c r="V14" s="102" t="n"/>
      <c r="W14" s="95" t="n"/>
      <c r="X14" s="102" t="n"/>
      <c r="Y14" s="102" t="inlineStr">
        <is>
          <t>S8-3</t>
        </is>
      </c>
      <c r="Z14" s="64" t="inlineStr">
        <is>
          <t>S1-2</t>
        </is>
      </c>
      <c r="AA14" s="64" t="n"/>
      <c r="AB14" s="64" t="inlineStr">
        <is>
          <t>S2-4</t>
        </is>
      </c>
      <c r="AC14" s="64" t="n"/>
      <c r="AD14" s="64" t="inlineStr">
        <is>
          <t>S1-3</t>
        </is>
      </c>
    </row>
    <row r="15">
      <c r="A15" s="12" t="n"/>
      <c r="B15" s="14" t="inlineStr">
        <is>
          <t>S</t>
        </is>
      </c>
      <c r="C15" s="5" t="inlineStr">
        <is>
          <t>100 IM</t>
        </is>
      </c>
      <c r="D15" s="33" t="n">
        <v>0.001007986111111111</v>
      </c>
      <c r="E15" s="45" t="n">
        <v>45837</v>
      </c>
      <c r="F15" s="49" t="inlineStr">
        <is>
          <t>100+</t>
        </is>
      </c>
      <c r="G15" s="24" t="inlineStr">
        <is>
          <t>-</t>
        </is>
      </c>
      <c r="H15" s="23">
        <f>IFERROR(IF(G15-D15&gt;0, TEXT(ABS(G15-D15), "MM:SS.00"), "-" &amp; TEXT(ABS(G15-D15), "MM:SS.00")),"-")</f>
        <v/>
      </c>
      <c r="I15" s="90" t="n"/>
      <c r="J15" s="52" t="n">
        <v>9</v>
      </c>
      <c r="K15" s="32" t="n"/>
      <c r="L15" s="34" t="n"/>
      <c r="M15" s="32" t="n"/>
      <c r="N15" s="84">
        <f>IFERROR(IF(M15-D15&gt;0, M15-D15, "-" &amp; TEXT(ABS(M15-D15), "MM:SS.00")), "-")</f>
        <v/>
      </c>
      <c r="O15" s="55" t="n">
        <v>18</v>
      </c>
      <c r="P15" s="39" t="n"/>
      <c r="Q15" s="39" t="n"/>
      <c r="R15" s="40" t="n"/>
      <c r="S15" s="61" t="n"/>
      <c r="T15" s="67" t="n"/>
      <c r="U15" s="102" t="n"/>
      <c r="V15" s="102" t="n"/>
      <c r="W15" s="95" t="n"/>
      <c r="X15" s="102" t="n"/>
      <c r="Y15" s="102" t="n"/>
      <c r="Z15" s="64" t="n"/>
      <c r="AA15" s="64" t="inlineStr">
        <is>
          <t>S1-3</t>
        </is>
      </c>
      <c r="AB15" s="64" t="n"/>
      <c r="AC15" s="64" t="n"/>
      <c r="AD15" s="64" t="n"/>
    </row>
    <row r="16" ht="17" customHeight="1" s="224" thickBot="1">
      <c r="A16" s="4" t="n"/>
      <c r="B16" s="68" t="inlineStr">
        <is>
          <t>S</t>
        </is>
      </c>
      <c r="C16" s="69" t="inlineStr">
        <is>
          <t>200 IM</t>
        </is>
      </c>
      <c r="D16" s="70" t="n">
        <v>0.002193518518518519</v>
      </c>
      <c r="E16" s="45" t="n">
        <v>45851</v>
      </c>
      <c r="F16" s="71" t="inlineStr">
        <is>
          <t>100+</t>
        </is>
      </c>
      <c r="G16" s="72" t="n">
        <v>0.00207025462962963</v>
      </c>
      <c r="H16" s="73">
        <f>IFERROR(IF(G16-D16&gt;0, TEXT(ABS(G16-D16), "MM:SS.00"), "-" &amp; TEXT(ABS(G16-D16), "MM:SS.00")),"-")</f>
        <v/>
      </c>
      <c r="I16" s="91">
        <f>IF(D16&lt;=G16,"X",IF(D29&lt;=G29,"X",""))</f>
        <v/>
      </c>
      <c r="J16" s="74" t="n">
        <v>9</v>
      </c>
      <c r="K16" s="75" t="n">
        <v>0.001940972222222222</v>
      </c>
      <c r="L16" s="37">
        <f>IFERROR(IF(K16-D16&gt;0, K16-D16, "-" &amp; TEXT(ABS(K16-D16), "MM:SS.00")), "-")</f>
        <v/>
      </c>
      <c r="M16" s="75" t="n">
        <v>0.002040509259259259</v>
      </c>
      <c r="N16" s="46">
        <f>IFERROR(IF(M16-D16&gt;0, M16-D16, "-" &amp; TEXT(ABS(M16-D16), "MM:SS.00")), "-")</f>
        <v/>
      </c>
      <c r="O16" s="76" t="n">
        <v>28</v>
      </c>
      <c r="P16" s="77" t="n"/>
      <c r="Q16" s="77" t="n"/>
      <c r="R16" s="87" t="n"/>
      <c r="S16" s="97" t="n"/>
      <c r="T16" s="78" t="n"/>
      <c r="U16" s="103" t="inlineStr">
        <is>
          <t>S1-2</t>
        </is>
      </c>
      <c r="V16" s="103" t="inlineStr">
        <is>
          <t>S3-3</t>
        </is>
      </c>
      <c r="W16" s="100" t="n"/>
      <c r="X16" s="103" t="inlineStr">
        <is>
          <t>S1-1</t>
        </is>
      </c>
      <c r="Y16" s="103" t="n"/>
      <c r="Z16" s="79" t="inlineStr">
        <is>
          <t>S3-3</t>
        </is>
      </c>
      <c r="AA16" s="79" t="n"/>
      <c r="AB16" s="79" t="inlineStr">
        <is>
          <t>S2-1</t>
        </is>
      </c>
      <c r="AC16" s="79" t="inlineStr">
        <is>
          <t>S3-3</t>
        </is>
      </c>
      <c r="AD16" s="79" t="inlineStr">
        <is>
          <t>S3-2</t>
        </is>
      </c>
    </row>
    <row r="17">
      <c r="A17" s="16" t="n"/>
      <c r="B17" s="13" t="inlineStr">
        <is>
          <t>L</t>
        </is>
      </c>
      <c r="C17" s="6" t="inlineStr">
        <is>
          <t>50 Free</t>
        </is>
      </c>
      <c r="D17" s="31" t="n">
        <v>0.0004100694444444445</v>
      </c>
      <c r="E17" s="44" t="n">
        <v>45696</v>
      </c>
      <c r="F17" s="48" t="n">
        <v>66</v>
      </c>
      <c r="G17" s="20" t="n">
        <v>0.0003813657407407408</v>
      </c>
      <c r="H17" s="21">
        <f>IFERROR(IF(G17-D17&gt;0, TEXT(ABS(G17-D17), "MM:SS.00"), "-" &amp; TEXT(ABS(G17-D17), "MM:SS.00")),"-")</f>
        <v/>
      </c>
      <c r="I17" s="89" t="n"/>
      <c r="J17" s="51" t="n">
        <v>5</v>
      </c>
      <c r="K17" s="30" t="n">
        <v>0.0003576388888888889</v>
      </c>
      <c r="L17" s="80">
        <f>IFERROR(IF(K17-D17&gt;0, K17-D17, "-" &amp; TEXT(ABS(K17-D17), "MM:SS.00")), "-")</f>
        <v/>
      </c>
      <c r="M17" s="30" t="n">
        <v>0.0003755787037037038</v>
      </c>
      <c r="N17" s="111">
        <f>IFERROR(IF(M17-D17&gt;0, M17-D17, "-" &amp; TEXT(ABS(M17-D17), "MM:SS.00")), "-")</f>
        <v/>
      </c>
      <c r="O17" s="54" t="n">
        <v>9</v>
      </c>
      <c r="P17" s="38" t="inlineStr">
        <is>
          <t>X (D1-S1)</t>
        </is>
      </c>
      <c r="Q17" s="38" t="n"/>
      <c r="R17" s="86" t="n"/>
      <c r="S17" s="81" t="n">
        <v>3</v>
      </c>
      <c r="T17" s="81" t="n">
        <v>43</v>
      </c>
      <c r="U17" s="104" t="n"/>
      <c r="V17" s="104" t="n"/>
      <c r="W17" s="94" t="n"/>
      <c r="X17" s="104" t="inlineStr">
        <is>
          <t>S2-3C</t>
        </is>
      </c>
      <c r="Y17" s="94" t="n"/>
      <c r="Z17" s="63" t="inlineStr">
        <is>
          <t>S1-3</t>
        </is>
      </c>
      <c r="AA17" s="63" t="n"/>
      <c r="AB17" s="63" t="n"/>
      <c r="AC17" s="63" t="inlineStr">
        <is>
          <t>S2-1</t>
        </is>
      </c>
      <c r="AD17" s="63" t="inlineStr">
        <is>
          <t>S4-3</t>
        </is>
      </c>
    </row>
    <row r="18">
      <c r="B18" s="14" t="inlineStr">
        <is>
          <t>L</t>
        </is>
      </c>
      <c r="C18" s="5" t="inlineStr">
        <is>
          <t>100 Free</t>
        </is>
      </c>
      <c r="D18" s="33" t="n">
        <v>0.0009133101851851852</v>
      </c>
      <c r="E18" s="45" t="n">
        <v>45830</v>
      </c>
      <c r="F18" s="49" t="n">
        <v>67</v>
      </c>
      <c r="G18" s="22" t="n">
        <v>0.0008506944444444444</v>
      </c>
      <c r="H18" s="23">
        <f>IFERROR(IF(G18-D18&gt;0, TEXT(ABS(G18-D18), "MM:SS.00"), "-" &amp; TEXT(ABS(G18-D18), "MM:SS.00")),"-")</f>
        <v/>
      </c>
      <c r="I18" s="90" t="n"/>
      <c r="J18" s="52" t="n">
        <v>4</v>
      </c>
      <c r="K18" s="32" t="n">
        <v>0.0007881944444444443</v>
      </c>
      <c r="L18" s="34">
        <f>IFERROR(IF(K18-D18&gt;0, K18-D18, "-" &amp; TEXT(ABS(K18-D18), "MM:SS.00")), "-")</f>
        <v/>
      </c>
      <c r="M18" s="32" t="n">
        <v>0.0008276620370370371</v>
      </c>
      <c r="N18" s="84">
        <f>IFERROR(IF(M18-D18&gt;0, M18-D18, "-" &amp; TEXT(ABS(M18-D18), "MM:SS.00")), "-")</f>
        <v/>
      </c>
      <c r="O18" s="55" t="n">
        <v>5</v>
      </c>
      <c r="P18" s="39" t="inlineStr">
        <is>
          <t>X (D2-S4)</t>
        </is>
      </c>
      <c r="Q18" s="39" t="n"/>
      <c r="R18" s="40" t="n"/>
      <c r="S18" s="61" t="n"/>
      <c r="T18" s="61" t="n">
        <v>42</v>
      </c>
      <c r="U18" s="102" t="n"/>
      <c r="V18" s="102" t="n"/>
      <c r="W18" s="95" t="n"/>
      <c r="X18" s="102" t="n"/>
      <c r="Y18" s="95" t="inlineStr">
        <is>
          <t>S5-3C</t>
        </is>
      </c>
      <c r="Z18" s="64" t="inlineStr">
        <is>
          <t>S3-1</t>
        </is>
      </c>
      <c r="AA18" s="64" t="n"/>
      <c r="AB18" s="64" t="inlineStr">
        <is>
          <t>S2-2</t>
        </is>
      </c>
      <c r="AC18" s="64" t="inlineStr">
        <is>
          <t>S1-3</t>
        </is>
      </c>
      <c r="AD18" s="64" t="inlineStr">
        <is>
          <t>S4-2</t>
        </is>
      </c>
    </row>
    <row r="19">
      <c r="B19" s="14" t="inlineStr">
        <is>
          <t>L</t>
        </is>
      </c>
      <c r="C19" s="5" t="inlineStr">
        <is>
          <t>200 Free</t>
        </is>
      </c>
      <c r="D19" s="33" t="n">
        <v>0.002068171296296296</v>
      </c>
      <c r="E19" s="45" t="n">
        <v>45452</v>
      </c>
      <c r="F19" s="49" t="n">
        <v>31</v>
      </c>
      <c r="G19" s="22" t="n">
        <v>0.001894097222222222</v>
      </c>
      <c r="H19" s="23">
        <f>IFERROR(IF(G19-D19&gt;0, TEXT(ABS(G19-D19), "MM:SS.00"), "-" &amp; TEXT(ABS(G19-D19), "MM:SS.00")),"-")</f>
        <v/>
      </c>
      <c r="I19" s="90" t="n"/>
      <c r="J19" s="52" t="n">
        <v>4</v>
      </c>
      <c r="K19" s="32" t="n">
        <v>0.001670138888888889</v>
      </c>
      <c r="L19" s="34">
        <f>IFERROR(IF(K19-D19&gt;0, K19-D19, "-" &amp; TEXT(ABS(K19-D19), "MM:SS.00")), "-")</f>
        <v/>
      </c>
      <c r="M19" s="32" t="n">
        <v>0.001753703703703704</v>
      </c>
      <c r="N19" s="84">
        <f>IFERROR(IF(M19-D19&gt;0, M19-D19, "-" &amp; TEXT(ABS(M19-D19), "MM:SS.00")), "-")</f>
        <v/>
      </c>
      <c r="O19" s="55" t="n">
        <v>6</v>
      </c>
      <c r="P19" s="39" t="n"/>
      <c r="Q19" s="39" t="n"/>
      <c r="R19" s="40" t="n"/>
      <c r="S19" s="61" t="n">
        <v>1</v>
      </c>
      <c r="T19" s="61" t="n">
        <v>41</v>
      </c>
      <c r="U19" s="102" t="n"/>
      <c r="V19" s="102" t="n"/>
      <c r="W19" s="95" t="n"/>
      <c r="X19" s="102" t="n"/>
      <c r="Y19" s="95" t="n"/>
      <c r="Z19" s="64" t="inlineStr">
        <is>
          <t>S2-1</t>
        </is>
      </c>
      <c r="AA19" s="64" t="n"/>
      <c r="AB19" s="64" t="n"/>
      <c r="AC19" s="64" t="inlineStr">
        <is>
          <t>S4-2</t>
        </is>
      </c>
      <c r="AD19" s="64" t="n"/>
    </row>
    <row r="20">
      <c r="B20" s="14" t="inlineStr">
        <is>
          <t>L</t>
        </is>
      </c>
      <c r="C20" s="5" t="inlineStr">
        <is>
          <t>400 Free</t>
        </is>
      </c>
      <c r="D20" s="33" t="inlineStr">
        <is>
          <t>-</t>
        </is>
      </c>
      <c r="E20" s="45" t="n"/>
      <c r="F20" s="49" t="n"/>
      <c r="G20" s="22" t="n">
        <v>0.003875115740740741</v>
      </c>
      <c r="H20" s="23">
        <f>IFERROR(IF(G20-D20&gt;0, TEXT(ABS(G20-D20), "MM:SS.00"), "-" &amp; TEXT(ABS(G20-D20), "MM:SS.00")),"-")</f>
        <v/>
      </c>
      <c r="I20" s="90">
        <f>IF(D20&lt;=G20,"X",IF(D7&lt;=G7,"X",""))</f>
        <v/>
      </c>
      <c r="J20" s="52" t="n"/>
      <c r="K20" s="32" t="n">
        <v>0.003540509259259259</v>
      </c>
      <c r="L20" s="34">
        <f>IFERROR(IF(K20-D20&gt;0, K20-D20, "-" &amp; TEXT(ABS(K20-D20), "MM:SS.00")), "-")</f>
        <v/>
      </c>
      <c r="M20" s="32" t="n">
        <v>0.003717592592592593</v>
      </c>
      <c r="N20" s="84">
        <f>IFERROR(IF(M20-D20&gt;0, M20-D20, "-" &amp; TEXT(ABS(M20-D20), "MM:SS.00")), "-")</f>
        <v/>
      </c>
      <c r="O20" s="55" t="inlineStr">
        <is>
          <t>-</t>
        </is>
      </c>
      <c r="P20" s="39" t="n"/>
      <c r="Q20" s="39" t="n"/>
      <c r="R20" s="40" t="n"/>
      <c r="S20" s="61" t="n"/>
      <c r="T20" s="61" t="n"/>
      <c r="U20" s="102" t="n"/>
      <c r="V20" s="102" t="n"/>
      <c r="W20" s="95" t="n"/>
      <c r="X20" s="102" t="n"/>
      <c r="Y20" s="95" t="n"/>
      <c r="Z20" s="64" t="inlineStr">
        <is>
          <t>S4-1</t>
        </is>
      </c>
      <c r="AA20" s="64" t="n"/>
      <c r="AB20" s="64" t="n"/>
      <c r="AC20" s="64" t="inlineStr">
        <is>
          <t>S1-1</t>
        </is>
      </c>
      <c r="AD20" s="64" t="n"/>
    </row>
    <row r="21">
      <c r="B21" s="14" t="inlineStr">
        <is>
          <t>L</t>
        </is>
      </c>
      <c r="C21" s="5" t="inlineStr">
        <is>
          <t>50 Back</t>
        </is>
      </c>
      <c r="D21" s="33" t="n">
        <v>0.0004461805555555555</v>
      </c>
      <c r="E21" s="45" t="n">
        <v>45830</v>
      </c>
      <c r="F21" s="49" t="n">
        <v>45</v>
      </c>
      <c r="G21" s="22" t="n">
        <v>0.0004490740740740741</v>
      </c>
      <c r="H21" s="23">
        <f>IFERROR(IF(G21-D21&gt;0, TEXT(ABS(G21-D21), "MM:SS.00"), "-" &amp; TEXT(ABS(G21-D21), "MM:SS.00")),"-")</f>
        <v/>
      </c>
      <c r="I21" s="90">
        <f>IF(D21&lt;=G21,"X",IF(D8&lt;=G8,"X",""))</f>
        <v/>
      </c>
      <c r="J21" s="52" t="n">
        <v>5</v>
      </c>
      <c r="K21" s="32" t="n">
        <v>0.0004236111111111112</v>
      </c>
      <c r="L21" s="34">
        <f>IFERROR(IF(K21-D21&gt;0, K21-D21, "-" &amp; TEXT(ABS(K21-D21), "MM:SS.00")), "-")</f>
        <v/>
      </c>
      <c r="M21" s="32" t="n">
        <v>0.0004447916666666667</v>
      </c>
      <c r="N21" s="84">
        <f>IFERROR(IF(M21-D21&gt;0, M21-D21, "-" &amp; TEXT(ABS(M21-D21), "MM:SS.00")), "-")</f>
        <v/>
      </c>
      <c r="O21" s="55" t="n">
        <v>5</v>
      </c>
      <c r="P21" s="39" t="inlineStr">
        <is>
          <t>X (D2-S5)</t>
        </is>
      </c>
      <c r="Q21" s="39" t="n"/>
      <c r="R21" s="40" t="n"/>
      <c r="S21" s="61" t="n"/>
      <c r="T21" s="61" t="n"/>
      <c r="U21" s="102" t="n"/>
      <c r="V21" s="102" t="n"/>
      <c r="W21" s="95" t="n"/>
      <c r="X21" s="102" t="inlineStr">
        <is>
          <t>S1-3</t>
        </is>
      </c>
      <c r="Y21" s="95" t="n"/>
      <c r="Z21" s="64" t="inlineStr">
        <is>
          <t>S2-2</t>
        </is>
      </c>
      <c r="AA21" s="64" t="n"/>
      <c r="AB21" s="64" t="inlineStr">
        <is>
          <t>S2-3</t>
        </is>
      </c>
      <c r="AC21" s="64" t="inlineStr">
        <is>
          <t>S4-1</t>
        </is>
      </c>
      <c r="AD21" s="64" t="inlineStr">
        <is>
          <t>S4-1</t>
        </is>
      </c>
    </row>
    <row r="22">
      <c r="B22" s="14" t="inlineStr">
        <is>
          <t>L</t>
        </is>
      </c>
      <c r="C22" s="5" t="inlineStr">
        <is>
          <t>100 Back</t>
        </is>
      </c>
      <c r="D22" s="33" t="n">
        <v>0.0009821759259259258</v>
      </c>
      <c r="E22" s="45" t="n">
        <v>45703</v>
      </c>
      <c r="F22" s="49" t="n">
        <v>46</v>
      </c>
      <c r="G22" s="22" t="n">
        <v>0.0009741898148148149</v>
      </c>
      <c r="H22" s="23">
        <f>IFERROR(IF(G22-D22&gt;0, TEXT(ABS(G22-D22), "MM:SS.00"), "-" &amp; TEXT(ABS(G22-D22), "MM:SS.00")),"-")</f>
        <v/>
      </c>
      <c r="I22" s="90">
        <f>IF(D22&lt;=G22,"X",IF(D9&lt;=G9,"X",""))</f>
        <v/>
      </c>
      <c r="J22" s="52" t="n">
        <v>4</v>
      </c>
      <c r="K22" s="32" t="n">
        <v>0.0009155092592592591</v>
      </c>
      <c r="L22" s="34">
        <f>IFERROR(IF(K22-D22&gt;0, K22-D22, "-" &amp; TEXT(ABS(K22-D22), "MM:SS.00")), "-")</f>
        <v/>
      </c>
      <c r="M22" s="32" t="n">
        <v>0.0009613425925925926</v>
      </c>
      <c r="N22" s="84">
        <f>IFERROR(IF(M22-D22&gt;0, M22-D22, "-" &amp; TEXT(ABS(M22-D22), "MM:SS.00")), "-")</f>
        <v/>
      </c>
      <c r="O22" s="55" t="n">
        <v>6</v>
      </c>
      <c r="P22" s="39" t="inlineStr">
        <is>
          <t>X (D1-S3)</t>
        </is>
      </c>
      <c r="Q22" s="39" t="n"/>
      <c r="R22" s="40" t="n"/>
      <c r="S22" s="61" t="n"/>
      <c r="T22" s="61" t="n"/>
      <c r="U22" s="102" t="n"/>
      <c r="V22" s="102" t="n"/>
      <c r="W22" s="95" t="n"/>
      <c r="X22" s="102" t="n"/>
      <c r="Y22" s="95" t="inlineStr">
        <is>
          <t>S6-2</t>
        </is>
      </c>
      <c r="Z22" s="64" t="inlineStr">
        <is>
          <t>S4-2</t>
        </is>
      </c>
      <c r="AA22" s="64" t="n"/>
      <c r="AB22" s="64" t="n"/>
      <c r="AC22" s="64" t="inlineStr">
        <is>
          <t>S2-2</t>
        </is>
      </c>
      <c r="AD22" s="64" t="inlineStr">
        <is>
          <t>S3-1</t>
        </is>
      </c>
    </row>
    <row r="23">
      <c r="B23" s="14" t="inlineStr">
        <is>
          <t>L</t>
        </is>
      </c>
      <c r="C23" s="5" t="inlineStr">
        <is>
          <t>200 Back</t>
        </is>
      </c>
      <c r="D23" s="33" t="n">
        <v>0.002119791666666667</v>
      </c>
      <c r="E23" s="45" t="n">
        <v>45703</v>
      </c>
      <c r="F23" s="49" t="n"/>
      <c r="G23" s="22" t="n">
        <v>0.002067592592592592</v>
      </c>
      <c r="H23" s="23">
        <f>IFERROR(IF(G23-D23&gt;0, TEXT(ABS(G23-D23), "MM:SS.00"), "-" &amp; TEXT(ABS(G23-D23), "MM:SS.00")),"-")</f>
        <v/>
      </c>
      <c r="I23" s="90">
        <f>IF(D23&lt;=G23,"X",IF(D10&lt;=G10,"X",""))</f>
        <v/>
      </c>
      <c r="J23" s="52" t="inlineStr">
        <is>
          <t>-</t>
        </is>
      </c>
      <c r="K23" s="32" t="n">
        <v>0.001944444444444444</v>
      </c>
      <c r="L23" s="34">
        <f>IFERROR(IF(K23-D23&gt;0, K23-D23, "-" &amp; TEXT(ABS(K23-D23), "MM:SS.00")), "-")</f>
        <v/>
      </c>
      <c r="M23" s="32" t="n">
        <v>0.002041666666666667</v>
      </c>
      <c r="N23" s="84">
        <f>IFERROR(IF(M23-D23&gt;0, M23-D23, "-" &amp; TEXT(ABS(M23-D23), "MM:SS.00")), "-")</f>
        <v/>
      </c>
      <c r="O23" s="55" t="inlineStr">
        <is>
          <t>-</t>
        </is>
      </c>
      <c r="P23" s="40" t="inlineStr">
        <is>
          <t>?</t>
        </is>
      </c>
      <c r="Q23" s="40" t="n"/>
      <c r="R23" s="40" t="n"/>
      <c r="S23" s="61" t="n"/>
      <c r="T23" s="61" t="n"/>
      <c r="U23" s="102" t="n"/>
      <c r="V23" s="102" t="n"/>
      <c r="W23" s="95" t="n"/>
      <c r="X23" s="102" t="n"/>
      <c r="Y23" s="95" t="inlineStr">
        <is>
          <t>S7-2</t>
        </is>
      </c>
      <c r="Z23" s="64" t="inlineStr">
        <is>
          <t>S1-1</t>
        </is>
      </c>
      <c r="AA23" s="64" t="n"/>
      <c r="AB23" s="64" t="n"/>
      <c r="AC23" s="64" t="inlineStr">
        <is>
          <t>S3-2</t>
        </is>
      </c>
      <c r="AD23" s="64" t="inlineStr">
        <is>
          <t>S1-2</t>
        </is>
      </c>
    </row>
    <row r="24">
      <c r="B24" s="14" t="inlineStr">
        <is>
          <t>L</t>
        </is>
      </c>
      <c r="C24" s="5" t="inlineStr">
        <is>
          <t>50 Breast</t>
        </is>
      </c>
      <c r="D24" s="33" t="n">
        <v>0.0006391203703703704</v>
      </c>
      <c r="E24" s="45" t="n">
        <v>45452</v>
      </c>
      <c r="F24" s="49" t="inlineStr">
        <is>
          <t>100+</t>
        </is>
      </c>
      <c r="G24" s="22" t="n">
        <v>0.0005256944444444445</v>
      </c>
      <c r="H24" s="23">
        <f>IFERROR(IF(G24-D24&gt;0, TEXT(ABS(G24-D24), "MM:SS.00"), "-" &amp; TEXT(ABS(G24-D24), "MM:SS.00")),"-")</f>
        <v/>
      </c>
      <c r="I24" s="90">
        <f>IF(D24&lt;=G24,"X",IF(D11&lt;=G11,"X",""))</f>
        <v/>
      </c>
      <c r="J24" s="52" t="n">
        <v>15</v>
      </c>
      <c r="K24" s="32" t="n">
        <v>0.0004803240740740741</v>
      </c>
      <c r="L24" s="34">
        <f>IFERROR(IF(K24-D24&gt;0, K24-D24, "-" &amp; TEXT(ABS(K24-D24), "MM:SS.00")), "-")</f>
        <v/>
      </c>
      <c r="M24" s="32" t="n">
        <v>0.000492824074074074</v>
      </c>
      <c r="N24" s="84">
        <f>IFERROR(IF(M24-D24&gt;0, M24-D24, "-" &amp; TEXT(ABS(M24-D24), "MM:SS.00")), "-")</f>
        <v/>
      </c>
      <c r="O24" s="55" t="n">
        <v>26</v>
      </c>
      <c r="P24" s="40" t="inlineStr">
        <is>
          <t>?</t>
        </is>
      </c>
      <c r="Q24" s="40" t="n"/>
      <c r="R24" s="40" t="n"/>
      <c r="S24" s="61" t="n"/>
      <c r="T24" s="61" t="n">
        <v>31</v>
      </c>
      <c r="U24" s="102" t="n"/>
      <c r="V24" s="102" t="n"/>
      <c r="W24" s="95" t="n"/>
      <c r="X24" s="102" t="n"/>
      <c r="Y24" s="95" t="n"/>
      <c r="Z24" s="64" t="n"/>
      <c r="AA24" s="64" t="n"/>
      <c r="AB24" s="64" t="n"/>
      <c r="AC24" s="64" t="inlineStr">
        <is>
          <t>S1-2</t>
        </is>
      </c>
      <c r="AD24" s="64" t="n"/>
    </row>
    <row r="25">
      <c r="B25" s="14" t="inlineStr">
        <is>
          <t>L</t>
        </is>
      </c>
      <c r="C25" s="5" t="inlineStr">
        <is>
          <t>100 Breast</t>
        </is>
      </c>
      <c r="D25" s="33" t="inlineStr">
        <is>
          <t>-</t>
        </is>
      </c>
      <c r="E25" s="45" t="n"/>
      <c r="F25" s="49" t="n"/>
      <c r="G25" s="22" t="n">
        <v>0.001130092592592593</v>
      </c>
      <c r="H25" s="23">
        <f>IFERROR(IF(G25-D25&gt;0, TEXT(ABS(G25-D25), "MM:SS.00"), "-" &amp; TEXT(ABS(G25-D25), "MM:SS.00")),"-")</f>
        <v/>
      </c>
      <c r="I25" s="90">
        <f>IF(D25&lt;=G25,"X",IF(D12&lt;=G12,"X",""))</f>
        <v/>
      </c>
      <c r="J25" s="52" t="inlineStr">
        <is>
          <t>-</t>
        </is>
      </c>
      <c r="K25" s="32" t="n">
        <v>0.001050925925925926</v>
      </c>
      <c r="L25" s="34">
        <f>IFERROR(IF(K25-D25&gt;0, K25-D25, "-" &amp; TEXT(ABS(K25-D25), "MM:SS.00")), "-")</f>
        <v/>
      </c>
      <c r="M25" s="32" t="n">
        <v>0.001103472222222222</v>
      </c>
      <c r="N25" s="84">
        <f>IFERROR(IF(M25-D25&gt;0, M25-D25, "-" &amp; TEXT(ABS(M25-D25), "MM:SS.00")), "-")</f>
        <v/>
      </c>
      <c r="O25" s="55" t="inlineStr">
        <is>
          <t>-</t>
        </is>
      </c>
      <c r="P25" s="39" t="n"/>
      <c r="Q25" s="39" t="n"/>
      <c r="R25" s="40" t="n"/>
      <c r="S25" s="61" t="n"/>
      <c r="T25" s="61" t="n"/>
      <c r="U25" s="102" t="n"/>
      <c r="V25" s="102" t="n"/>
      <c r="W25" s="95" t="n"/>
      <c r="X25" s="102" t="n"/>
      <c r="Y25" s="95" t="n"/>
      <c r="Z25" s="64" t="n"/>
      <c r="AA25" s="64" t="n"/>
      <c r="AB25" s="64" t="n"/>
      <c r="AC25" s="64" t="n"/>
      <c r="AD25" s="64" t="n"/>
    </row>
    <row r="26" ht="17" customHeight="1" s="224" thickBot="1">
      <c r="B26" s="14" t="inlineStr">
        <is>
          <t>L</t>
        </is>
      </c>
      <c r="C26" s="5" t="inlineStr">
        <is>
          <t>50 Fly</t>
        </is>
      </c>
      <c r="D26" s="33" t="n">
        <v>0.0004377314814814815</v>
      </c>
      <c r="E26" s="110" t="n">
        <v>45696</v>
      </c>
      <c r="F26" s="59" t="n">
        <v>64</v>
      </c>
      <c r="G26" s="22" t="n">
        <v>0.0004244212962962963</v>
      </c>
      <c r="H26" s="23">
        <f>IFERROR(IF(G26-D26&gt;0, TEXT(ABS(G26-D26), "MM:SS.00"), "-" &amp; TEXT(ABS(G26-D26), "MM:SS.00")),"-")</f>
        <v/>
      </c>
      <c r="I26" s="90">
        <f>IF(D26&lt;=G26,"X",IF(D13&lt;=G13,"X",""))</f>
        <v/>
      </c>
      <c r="J26" s="52" t="n">
        <v>7</v>
      </c>
      <c r="K26" s="32" t="n">
        <v>0.0003969907407407407</v>
      </c>
      <c r="L26" s="34">
        <f>IFERROR(IF(K26-D26&gt;0, K26-D26, "-" &amp; TEXT(ABS(K26-D26), "MM:SS.00")), "-")</f>
        <v/>
      </c>
      <c r="M26" s="32" t="n">
        <v>0.0004168981481481482</v>
      </c>
      <c r="N26" s="84">
        <f>IFERROR(IF(M26-D26&gt;0, M26-D26, "-" &amp; TEXT(ABS(M26-D26), "MM:SS.00")), "-")</f>
        <v/>
      </c>
      <c r="O26" s="55" t="n">
        <v>5</v>
      </c>
      <c r="P26" s="39" t="n"/>
      <c r="Q26" s="39" t="n"/>
      <c r="R26" s="40" t="n"/>
      <c r="S26" s="61" t="n">
        <v>2</v>
      </c>
      <c r="T26" s="61" t="n"/>
      <c r="U26" s="102" t="n"/>
      <c r="V26" s="102" t="n"/>
      <c r="W26" s="95" t="n"/>
      <c r="X26" s="102" t="inlineStr">
        <is>
          <t>S4-2</t>
        </is>
      </c>
      <c r="Y26" s="95" t="n"/>
      <c r="Z26" s="64" t="inlineStr">
        <is>
          <t>S3-2</t>
        </is>
      </c>
      <c r="AA26" s="64" t="n"/>
      <c r="AB26" s="64" t="n"/>
      <c r="AC26" s="64" t="inlineStr">
        <is>
          <t>S3-1</t>
        </is>
      </c>
      <c r="AD26" s="64" t="inlineStr">
        <is>
          <t>S1-1</t>
        </is>
      </c>
    </row>
    <row r="27">
      <c r="B27" s="14" t="inlineStr">
        <is>
          <t>L</t>
        </is>
      </c>
      <c r="C27" s="5" t="inlineStr">
        <is>
          <t>100 Fly</t>
        </is>
      </c>
      <c r="D27" s="33" t="n">
        <v>0.0010125</v>
      </c>
      <c r="E27" s="45" t="n">
        <v>45830</v>
      </c>
      <c r="F27" s="49" t="n">
        <v>53</v>
      </c>
      <c r="G27" s="22" t="n">
        <v>0.001017592592592593</v>
      </c>
      <c r="H27" s="23">
        <f>IFERROR(IF(G27-D27&gt;0, TEXT(ABS(G27-D27), "MM:SS.00"), "-" &amp; TEXT(ABS(G27-D27), "MM:SS.00")),"-")</f>
        <v/>
      </c>
      <c r="I27" s="90">
        <f>IF(D27&lt;=G27,"X",IF(D14&lt;=G14,"X",""))</f>
        <v/>
      </c>
      <c r="J27" s="52" t="n">
        <v>4</v>
      </c>
      <c r="K27" s="32" t="n">
        <v>0.0009074074074074074</v>
      </c>
      <c r="L27" s="34">
        <f>IFERROR(IF(K27-D27&gt;0, K27-D27, "-" &amp; TEXT(ABS(K27-D27), "MM:SS.00")), "-")</f>
        <v/>
      </c>
      <c r="M27" s="32" t="n">
        <v>0.0009527777777777777</v>
      </c>
      <c r="N27" s="84">
        <f>IFERROR(IF(M27-D27&gt;0, M27-D27, "-" &amp; TEXT(ABS(M27-D27), "MM:SS.00")), "-")</f>
        <v/>
      </c>
      <c r="O27" s="55" t="n">
        <v>6</v>
      </c>
      <c r="P27" s="39" t="n"/>
      <c r="Q27" s="39" t="n"/>
      <c r="R27" s="40" t="n"/>
      <c r="S27" s="61" t="n"/>
      <c r="T27" s="61" t="n"/>
      <c r="U27" s="102" t="n"/>
      <c r="V27" s="102" t="n"/>
      <c r="W27" s="95" t="n"/>
      <c r="X27" s="102" t="n"/>
      <c r="Y27" s="95" t="inlineStr">
        <is>
          <t>S8-3</t>
        </is>
      </c>
      <c r="Z27" s="64" t="inlineStr">
        <is>
          <t>S1-2</t>
        </is>
      </c>
      <c r="AA27" s="64" t="n"/>
      <c r="AB27" s="64" t="inlineStr">
        <is>
          <t>S2-4</t>
        </is>
      </c>
      <c r="AC27" s="64" t="n"/>
      <c r="AD27" s="64" t="inlineStr">
        <is>
          <t>S1-3</t>
        </is>
      </c>
    </row>
    <row r="28">
      <c r="B28" s="14" t="inlineStr">
        <is>
          <t>L</t>
        </is>
      </c>
      <c r="C28" s="5" t="inlineStr">
        <is>
          <t>100 IM</t>
        </is>
      </c>
      <c r="D28" s="33" t="inlineStr">
        <is>
          <t>-</t>
        </is>
      </c>
      <c r="E28" s="45" t="n"/>
      <c r="F28" s="49" t="n"/>
      <c r="G28" s="24" t="inlineStr">
        <is>
          <t>-</t>
        </is>
      </c>
      <c r="H28" s="23">
        <f>IFERROR(IF(G28-D28&gt;0, TEXT(ABS(G28-D28), "MM:SS.00"), "-" &amp; TEXT(ABS(G28-D28), "MM:SS.00")),"-")</f>
        <v/>
      </c>
      <c r="I28" s="90" t="n"/>
      <c r="J28" s="52" t="inlineStr">
        <is>
          <t>-</t>
        </is>
      </c>
      <c r="K28" s="35" t="inlineStr">
        <is>
          <t>-</t>
        </is>
      </c>
      <c r="L28" s="34">
        <f>IFERROR(IF(K28-D28&gt;0, K28-D28, "-" &amp; TEXT(ABS(K28-D28), "MM:SS.00")), "-")</f>
        <v/>
      </c>
      <c r="M28" s="35" t="inlineStr">
        <is>
          <t>-</t>
        </is>
      </c>
      <c r="N28" s="84">
        <f>IFERROR(IF(M28-D28&gt;0, M28-D28, "-" &amp; TEXT(ABS(M28-D28), "MM:SS.00")), "-")</f>
        <v/>
      </c>
      <c r="O28" s="55" t="inlineStr">
        <is>
          <t>-</t>
        </is>
      </c>
      <c r="P28" s="39" t="n"/>
      <c r="Q28" s="39" t="n"/>
      <c r="R28" s="40" t="n"/>
      <c r="S28" s="61" t="n"/>
      <c r="T28" s="61" t="n"/>
      <c r="U28" s="102" t="n"/>
      <c r="V28" s="102" t="n"/>
      <c r="W28" s="95" t="n"/>
      <c r="X28" s="102" t="n"/>
      <c r="Y28" s="95" t="n"/>
      <c r="Z28" s="64" t="n"/>
      <c r="AA28" s="64" t="n"/>
      <c r="AB28" s="64" t="n"/>
      <c r="AC28" s="64" t="n"/>
      <c r="AD28" s="64" t="n"/>
    </row>
    <row r="29" ht="17" customHeight="1" s="224" thickBot="1">
      <c r="B29" s="15" t="inlineStr">
        <is>
          <t>L</t>
        </is>
      </c>
      <c r="C29" s="7" t="inlineStr">
        <is>
          <t>200 IM</t>
        </is>
      </c>
      <c r="D29" s="46" t="n">
        <v>0.002311111111111111</v>
      </c>
      <c r="E29" s="47" t="n">
        <v>45696</v>
      </c>
      <c r="F29" s="50" t="n"/>
      <c r="G29" s="116" t="n">
        <v>0.002101851851851852</v>
      </c>
      <c r="H29" s="26">
        <f>IFERROR(IF(G29-D29&gt;0, TEXT(ABS(G29-D29), "MM:SS.00"), "-" &amp; TEXT(ABS(G29-D29), "MM:SS.00")),"-")</f>
        <v/>
      </c>
      <c r="I29" s="92">
        <f>IF(D29&lt;=G29,"X",IF(D16&lt;=G16,"X",""))</f>
        <v/>
      </c>
      <c r="J29" s="53" t="inlineStr">
        <is>
          <t>-</t>
        </is>
      </c>
      <c r="K29" s="36" t="n">
        <v>0.001967592592592592</v>
      </c>
      <c r="L29" s="37">
        <f>IFERROR(IF(K29-D29&gt;0, K29-D29, "-" &amp; TEXT(ABS(K29-D29), "MM:SS.00")), "-")</f>
        <v/>
      </c>
      <c r="M29" s="36" t="n">
        <v>0.002065972222222222</v>
      </c>
      <c r="N29" s="46">
        <f>IFERROR(IF(M29-D29&gt;0, M29-D29, "-" &amp; TEXT(ABS(M29-D29), "MM:SS.00")), "-")</f>
        <v/>
      </c>
      <c r="O29" s="56" t="inlineStr">
        <is>
          <t>-</t>
        </is>
      </c>
      <c r="P29" s="41" t="n"/>
      <c r="Q29" s="41" t="n"/>
      <c r="R29" s="88" t="n"/>
      <c r="S29" s="62" t="n"/>
      <c r="T29" s="62" t="n">
        <v>32</v>
      </c>
      <c r="U29" s="105" t="n"/>
      <c r="V29" s="105" t="n"/>
      <c r="W29" s="96" t="n"/>
      <c r="X29" s="105" t="inlineStr">
        <is>
          <t>S1-1</t>
        </is>
      </c>
      <c r="Y29" s="96" t="n"/>
      <c r="Z29" s="65" t="inlineStr">
        <is>
          <t>S3-3</t>
        </is>
      </c>
      <c r="AA29" s="65" t="n"/>
      <c r="AB29" s="65" t="inlineStr">
        <is>
          <t>S2-1</t>
        </is>
      </c>
      <c r="AC29" s="65" t="inlineStr">
        <is>
          <t>S3-3</t>
        </is>
      </c>
      <c r="AD29" s="112" t="inlineStr">
        <is>
          <t>S3-2</t>
        </is>
      </c>
    </row>
    <row r="36">
      <c r="F36" s="106" t="n"/>
      <c r="G36" s="107" t="n"/>
      <c r="J36" s="107" t="n"/>
    </row>
    <row r="37">
      <c r="F37" s="106" t="n"/>
    </row>
  </sheetData>
  <autoFilter ref="A3:AA29"/>
  <mergeCells count="4">
    <mergeCell ref="D2:F2"/>
    <mergeCell ref="P2:AD2"/>
    <mergeCell ref="G2:J2"/>
    <mergeCell ref="K2:O2"/>
  </mergeCells>
  <conditionalFormatting sqref="I4:I29">
    <cfRule type="cellIs" priority="2" operator="equal" dxfId="1">
      <formula>"X"</formula>
    </cfRule>
  </conditionalFormatting>
  <conditionalFormatting sqref="B4:H25 B26:D26 B27:H29 F26:H26 J4:T9 J10:M14 J15:K15 J16:M16 J17:T29 M15 N10:T16">
    <cfRule type="expression" priority="6" dxfId="0">
      <formula>MOD(ROW(),2)=0</formula>
    </cfRule>
  </conditionalFormatting>
  <conditionalFormatting sqref="U4:AD29">
    <cfRule type="expression" priority="1" dxfId="0">
      <formula>MOD(ROW(),2)=0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45"/>
  <sheetViews>
    <sheetView showGridLines="0" zoomScale="110" zoomScaleNormal="11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Y13" sqref="AY13"/>
    </sheetView>
  </sheetViews>
  <sheetFormatPr baseColWidth="10" defaultRowHeight="16"/>
  <cols>
    <col width="7.6640625" customWidth="1" style="1" min="2" max="2"/>
    <col width="11.1640625" customWidth="1" style="224" min="3" max="3"/>
    <col width="11.5" customWidth="1" style="2" min="4" max="5"/>
    <col hidden="1" width="16.6640625" customWidth="1" style="11" min="6" max="6"/>
    <col width="11.6640625" customWidth="1" style="2" min="7" max="7"/>
    <col width="11.6640625" customWidth="1" style="3" min="8" max="8"/>
    <col width="5.1640625" customWidth="1" style="3" min="9" max="9"/>
    <col width="9.1640625" customWidth="1" style="3" min="10" max="10"/>
    <col hidden="1" width="12" customWidth="1" style="2" min="11" max="11"/>
    <col hidden="1" width="12" customWidth="1" style="4" min="12" max="13"/>
    <col width="10" customWidth="1" style="2" min="14" max="17"/>
    <col width="8.5" customWidth="1" style="3" min="18" max="18"/>
    <col hidden="1" width="16.33203125" customWidth="1" style="2" min="19" max="20"/>
    <col hidden="1" width="16.33203125" customWidth="1" style="224" min="21" max="21"/>
    <col hidden="1" width="14.5" customWidth="1" style="2" min="22" max="23"/>
    <col hidden="1" width="14.5" customWidth="1" style="98" min="24" max="36"/>
    <col hidden="1" width="10.83203125" customWidth="1" style="98" min="37" max="43"/>
  </cols>
  <sheetData>
    <row r="1" ht="17" customHeight="1" s="224" thickBot="1"/>
    <row r="2" ht="17" customFormat="1" customHeight="1" s="1" thickBot="1">
      <c r="D2" s="215" t="inlineStr">
        <is>
          <t>PBs</t>
        </is>
      </c>
      <c r="E2" s="216" t="n"/>
      <c r="F2" s="217" t="n"/>
      <c r="G2" s="219" t="inlineStr">
        <is>
          <t>County 2025</t>
        </is>
      </c>
      <c r="H2" s="216" t="n"/>
      <c r="I2" s="216" t="n"/>
      <c r="J2" s="217" t="n"/>
      <c r="K2" s="215" t="inlineStr">
        <is>
          <t>Regional 2026</t>
        </is>
      </c>
      <c r="L2" s="216" t="n"/>
      <c r="M2" s="216" t="n"/>
      <c r="N2" s="216" t="n"/>
      <c r="O2" s="216" t="n"/>
      <c r="P2" s="216" t="n"/>
      <c r="Q2" s="216" t="n"/>
      <c r="R2" s="217" t="n"/>
      <c r="S2" s="218" t="inlineStr">
        <is>
          <t xml:space="preserve">Future Meets </t>
        </is>
      </c>
      <c r="T2" s="216" t="n"/>
      <c r="U2" s="216" t="n"/>
      <c r="V2" s="216" t="n"/>
      <c r="W2" s="216" t="n"/>
      <c r="X2" s="216" t="n"/>
      <c r="Y2" s="216" t="n"/>
      <c r="Z2" s="216" t="n"/>
      <c r="AA2" s="216" t="n"/>
      <c r="AB2" s="216" t="n"/>
      <c r="AC2" s="216" t="n"/>
      <c r="AD2" s="216" t="n"/>
      <c r="AE2" s="216" t="n"/>
      <c r="AF2" s="216" t="n"/>
      <c r="AG2" s="216" t="n"/>
      <c r="AH2" s="216" t="n"/>
      <c r="AI2" s="216" t="n"/>
      <c r="AJ2" s="216" t="n"/>
      <c r="AK2" s="216" t="n"/>
      <c r="AL2" s="216" t="n"/>
      <c r="AM2" s="216" t="n"/>
      <c r="AN2" s="216" t="n"/>
      <c r="AO2" s="216" t="n"/>
      <c r="AP2" s="216" t="n"/>
      <c r="AQ2" s="217" t="n"/>
    </row>
    <row r="3" ht="45" customFormat="1" customHeight="1" s="10" thickBot="1">
      <c r="B3" s="8" t="inlineStr">
        <is>
          <t>Course</t>
        </is>
      </c>
      <c r="C3" s="9" t="inlineStr">
        <is>
          <t>Stroke</t>
        </is>
      </c>
      <c r="D3" s="42" t="inlineStr">
        <is>
          <t>PB</t>
        </is>
      </c>
      <c r="E3" s="43" t="inlineStr">
        <is>
          <t>Obtained</t>
        </is>
      </c>
      <c r="F3" s="43" t="inlineStr">
        <is>
          <t>Nat. Ranking</t>
        </is>
      </c>
      <c r="G3" s="17" t="inlineStr">
        <is>
          <t>County QT</t>
        </is>
      </c>
      <c r="H3" s="18" t="inlineStr">
        <is>
          <t>Difference</t>
        </is>
      </c>
      <c r="I3" s="83" t="inlineStr">
        <is>
          <t>Qual</t>
        </is>
      </c>
      <c r="J3" s="19" t="inlineStr">
        <is>
          <t>Ranking</t>
        </is>
      </c>
      <c r="K3" s="27" t="inlineStr">
        <is>
          <t>RegionalQT</t>
        </is>
      </c>
      <c r="L3" s="28" t="inlineStr">
        <is>
          <t>Difference</t>
        </is>
      </c>
      <c r="M3" s="124" t="n"/>
      <c r="N3" s="135" t="inlineStr">
        <is>
          <t>Regional 
Cons</t>
        </is>
      </c>
      <c r="O3" s="113" t="inlineStr">
        <is>
          <t>Cons 
Difference</t>
        </is>
      </c>
      <c r="P3" s="135" t="inlineStr">
        <is>
          <t>Regional 
QT</t>
        </is>
      </c>
      <c r="Q3" s="113" t="inlineStr">
        <is>
          <t xml:space="preserve"> QT
Difference</t>
        </is>
      </c>
      <c r="R3" s="29" t="inlineStr">
        <is>
          <t>Ranking</t>
        </is>
      </c>
      <c r="S3" s="57" t="inlineStr">
        <is>
          <t>N&amp;UEL
23/24 March</t>
        </is>
      </c>
      <c r="T3" s="60" t="inlineStr">
        <is>
          <t>Junior Arena 1
18 May</t>
        </is>
      </c>
      <c r="U3" s="85" t="inlineStr">
        <is>
          <t>Junior Arena 
Finals 15/9</t>
        </is>
      </c>
      <c r="V3" s="60" t="inlineStr">
        <is>
          <t>BWFSC
Autumn 22/9</t>
        </is>
      </c>
      <c r="W3" s="60" t="inlineStr">
        <is>
          <t>Saxon Crown
6/10</t>
        </is>
      </c>
      <c r="X3" s="60" t="inlineStr">
        <is>
          <t>Club Champs (23-Nov)</t>
        </is>
      </c>
      <c r="Y3" s="60" t="inlineStr">
        <is>
          <t>Ealing  
(7/8 Dec)</t>
        </is>
      </c>
      <c r="Z3" s="108" t="inlineStr">
        <is>
          <t xml:space="preserve"> Ealing 
(18/1)</t>
        </is>
      </c>
      <c r="AA3" s="109" t="inlineStr">
        <is>
          <t xml:space="preserve"> County Champs (Feb 8-9) </t>
        </is>
      </c>
      <c r="AB3" s="109" t="inlineStr">
        <is>
          <t xml:space="preserve"> County Champs (Feb 15-16) </t>
        </is>
      </c>
      <c r="AC3" s="58" t="inlineStr">
        <is>
          <t xml:space="preserve"> RRSC 
(Mar 22-23) </t>
        </is>
      </c>
      <c r="AD3" s="58" t="inlineStr">
        <is>
          <t xml:space="preserve"> Ealing  
(April 17) </t>
        </is>
      </c>
      <c r="AE3" s="58" t="inlineStr">
        <is>
          <t xml:space="preserve"> Gators  
(June 22) -L</t>
        </is>
      </c>
      <c r="AF3" s="58" t="inlineStr">
        <is>
          <t xml:space="preserve"> Summer Splash  
(July  12-13) -S</t>
        </is>
      </c>
      <c r="AG3" s="58" t="inlineStr">
        <is>
          <t xml:space="preserve"> Saxon Crown  
(Oct  4-5) -S</t>
        </is>
      </c>
      <c r="AH3" s="58" t="inlineStr">
        <is>
          <t xml:space="preserve"> Club Champs  
(Nov 9)</t>
        </is>
      </c>
      <c r="AI3" s="58" t="inlineStr">
        <is>
          <t xml:space="preserve"> Xmas Qualifier  
(Nov 29-30)</t>
        </is>
      </c>
      <c r="AJ3" s="58" t="inlineStr">
        <is>
          <t xml:space="preserve"> Romford Xmas  
(Dec 14)</t>
        </is>
      </c>
      <c r="AK3" s="58" t="inlineStr">
        <is>
          <t xml:space="preserve"> Ealing  
(Jan 24)</t>
        </is>
      </c>
      <c r="AL3" s="58" t="inlineStr">
        <is>
          <t>Counties
(7-8 Feb)</t>
        </is>
      </c>
      <c r="AM3" s="58" t="inlineStr">
        <is>
          <t>Counties
(14-15 Feb)</t>
        </is>
      </c>
      <c r="AN3" s="58" t="inlineStr">
        <is>
          <t>Ealing RC 
(28-1 Mar)</t>
        </is>
      </c>
      <c r="AO3" s="58" t="inlineStr">
        <is>
          <t xml:space="preserve"> BWFSC  
(8 March)</t>
        </is>
      </c>
      <c r="AP3" s="58" t="inlineStr">
        <is>
          <t xml:space="preserve"> RRSC  
(14-15 Mar)</t>
        </is>
      </c>
      <c r="AQ3" s="58" t="inlineStr">
        <is>
          <t xml:space="preserve"> Ealing  
(Apr 18)</t>
        </is>
      </c>
      <c r="AR3" s="93" t="n"/>
    </row>
    <row r="4">
      <c r="B4" s="13" t="inlineStr">
        <is>
          <t>S</t>
        </is>
      </c>
      <c r="C4" s="6" t="inlineStr">
        <is>
          <t>50 Free</t>
        </is>
      </c>
      <c r="D4" s="125" t="n">
        <v>0.0004033564814814815</v>
      </c>
      <c r="E4" s="44" t="n">
        <v>45787</v>
      </c>
      <c r="F4" s="48" t="inlineStr">
        <is>
          <t>100+</t>
        </is>
      </c>
      <c r="G4" s="114" t="n">
        <v>0.0003738425925925926</v>
      </c>
      <c r="H4" s="21">
        <f>IFERROR(IF(G4-D4&gt;0, TEXT(ABS(G4-D4), "MM:SS.00"), "-" &amp; TEXT(ABS(G4-D4), "MM:SS.00")),"-")</f>
        <v/>
      </c>
      <c r="I4" s="89">
        <f>IF(D4&lt;=G4,"X",IF(D21&lt;=G21,"X",""))</f>
        <v/>
      </c>
      <c r="J4" s="51" t="n">
        <v>13</v>
      </c>
      <c r="K4" s="120" t="n">
        <v>0.0003460648148148148</v>
      </c>
      <c r="L4" s="80">
        <f>IFERROR(IF(K4-D4&gt;0, K4-D4, "-" &amp; TEXT(ABS(K4-D4), "MM:SS.00")), "-")</f>
        <v/>
      </c>
      <c r="M4" s="89" t="n"/>
      <c r="N4" s="129" t="n">
        <v>0.0003634259259259259</v>
      </c>
      <c r="O4" s="80">
        <f>IFERROR(IF(N4-D4&gt;0, N4-D4, "-" &amp; TEXT(ABS(N4-D4), "MM:SS.00")), "-")</f>
        <v/>
      </c>
      <c r="P4" s="129" t="n">
        <v>0.0003460648148148148</v>
      </c>
      <c r="Q4" s="80">
        <f>IFERROR(IF(P4-D4&gt;0, P4-D4, "-" &amp; TEXT(ABS(P4-D4), "MM:SS.00")), "-")</f>
        <v/>
      </c>
      <c r="R4" s="54" t="n">
        <v>52</v>
      </c>
      <c r="S4" s="38" t="n"/>
      <c r="T4" s="38" t="n"/>
      <c r="U4" s="86" t="n"/>
      <c r="V4" s="81" t="n"/>
      <c r="W4" s="66" t="n"/>
      <c r="X4" s="101" t="n"/>
      <c r="Y4" s="101" t="inlineStr">
        <is>
          <t>S2-1</t>
        </is>
      </c>
      <c r="Z4" s="99" t="n"/>
      <c r="AA4" s="101" t="inlineStr">
        <is>
          <t>S2-3C</t>
        </is>
      </c>
      <c r="AB4" s="101" t="n"/>
      <c r="AC4" s="63" t="inlineStr">
        <is>
          <t>S1-3</t>
        </is>
      </c>
      <c r="AD4" s="63" t="inlineStr">
        <is>
          <t>S1-1</t>
        </is>
      </c>
      <c r="AE4" s="63" t="n"/>
      <c r="AF4" s="63" t="inlineStr">
        <is>
          <t>S2-1</t>
        </is>
      </c>
      <c r="AG4" s="63" t="inlineStr">
        <is>
          <t>S4-3</t>
        </is>
      </c>
      <c r="AH4" s="63" t="inlineStr">
        <is>
          <t>S1-1</t>
        </is>
      </c>
      <c r="AI4" s="123" t="n"/>
      <c r="AJ4" s="133" t="n"/>
      <c r="AK4" s="133" t="n"/>
      <c r="AL4" s="133" t="n"/>
      <c r="AM4" s="133" t="n"/>
      <c r="AN4" s="133" t="inlineStr">
        <is>
          <t>S2-1</t>
        </is>
      </c>
      <c r="AO4" s="133" t="inlineStr">
        <is>
          <t>L1-3</t>
        </is>
      </c>
      <c r="AP4" s="133" t="inlineStr">
        <is>
          <t>L6-2</t>
        </is>
      </c>
      <c r="AQ4" s="133" t="inlineStr">
        <is>
          <t>S1</t>
        </is>
      </c>
    </row>
    <row r="5">
      <c r="B5" s="14" t="inlineStr">
        <is>
          <t>S</t>
        </is>
      </c>
      <c r="C5" s="5" t="inlineStr">
        <is>
          <t>100 Free</t>
        </is>
      </c>
      <c r="D5" s="126" t="n">
        <v>0.0008821759259259259</v>
      </c>
      <c r="E5" s="45" t="n">
        <v>45990</v>
      </c>
      <c r="F5" s="49" t="inlineStr">
        <is>
          <t>100+</t>
        </is>
      </c>
      <c r="G5" s="114" t="n">
        <v>0.000832175925925926</v>
      </c>
      <c r="H5" s="23">
        <f>IFERROR(IF(G5-D5&gt;0, TEXT(ABS(G5-D5), "MM:SS.00"), "-" &amp; TEXT(ABS(G5-D5), "MM:SS.00")),"-")</f>
        <v/>
      </c>
      <c r="I5" s="90">
        <f>IF(D5&lt;=G5,"X",IF(D22&lt;=G22,"X",""))</f>
        <v/>
      </c>
      <c r="J5" s="52" t="n">
        <v>17</v>
      </c>
      <c r="K5" s="35" t="n">
        <v>0.0007685185185185185</v>
      </c>
      <c r="L5" s="34">
        <f>IFERROR(IF(K5-D5&gt;0, K5-D5, "-" &amp; TEXT(ABS(K5-D5), "MM:SS.00")), "-")</f>
        <v/>
      </c>
      <c r="M5" s="90" t="n"/>
      <c r="N5" s="130" t="n">
        <v>0.0008090277777777779</v>
      </c>
      <c r="O5" s="34">
        <f>IFERROR(IF(N5-D5&gt;0, N5-D5, "-" &amp; TEXT(ABS(N5-D5), "MM:SS.00")), "-")</f>
        <v/>
      </c>
      <c r="P5" s="130" t="n">
        <v>0.0007685185185185185</v>
      </c>
      <c r="Q5" s="34">
        <f>IFERROR(IF(P5-D5&gt;0, P5-D5, "-" &amp; TEXT(ABS(P5-D5), "MM:SS.00")), "-")</f>
        <v/>
      </c>
      <c r="R5" s="55" t="n">
        <v>44</v>
      </c>
      <c r="S5" s="39" t="n"/>
      <c r="T5" s="39" t="n"/>
      <c r="U5" s="40" t="n"/>
      <c r="V5" s="61" t="n"/>
      <c r="W5" s="66" t="n"/>
      <c r="X5" s="102" t="n"/>
      <c r="Y5" s="102" t="inlineStr">
        <is>
          <t>S1-3</t>
        </is>
      </c>
      <c r="Z5" s="95" t="inlineStr">
        <is>
          <t>S1-2</t>
        </is>
      </c>
      <c r="AA5" s="102" t="n"/>
      <c r="AB5" s="102" t="inlineStr">
        <is>
          <t>S5-3C</t>
        </is>
      </c>
      <c r="AC5" s="64" t="inlineStr">
        <is>
          <t>S3-1</t>
        </is>
      </c>
      <c r="AD5" s="64" t="n"/>
      <c r="AE5" s="64" t="inlineStr">
        <is>
          <t>S2-2</t>
        </is>
      </c>
      <c r="AF5" s="64" t="inlineStr">
        <is>
          <t>S1-3</t>
        </is>
      </c>
      <c r="AG5" s="64" t="inlineStr">
        <is>
          <t>S4-2</t>
        </is>
      </c>
      <c r="AH5" s="64" t="inlineStr">
        <is>
          <t>S2-4</t>
        </is>
      </c>
      <c r="AI5" s="64" t="inlineStr">
        <is>
          <t>S1-3</t>
        </is>
      </c>
      <c r="AJ5" s="64" t="n"/>
      <c r="AK5" s="64" t="inlineStr">
        <is>
          <t>S2</t>
        </is>
      </c>
      <c r="AL5" s="64" t="n"/>
      <c r="AM5" s="64" t="n"/>
      <c r="AN5" s="64" t="inlineStr">
        <is>
          <t>S1-3</t>
        </is>
      </c>
      <c r="AO5" s="64" t="n"/>
      <c r="AP5" s="64" t="inlineStr">
        <is>
          <t>L2-3</t>
        </is>
      </c>
      <c r="AQ5" s="64" t="n"/>
    </row>
    <row r="6">
      <c r="B6" s="14" t="inlineStr">
        <is>
          <t>S</t>
        </is>
      </c>
      <c r="C6" s="5" t="inlineStr">
        <is>
          <t>200 Free</t>
        </is>
      </c>
      <c r="D6" s="126" t="n">
        <v>0.001940277777777778</v>
      </c>
      <c r="E6" s="45" t="n">
        <v>45991</v>
      </c>
      <c r="F6" s="49" t="inlineStr">
        <is>
          <t>100+</t>
        </is>
      </c>
      <c r="G6" s="114" t="n">
        <v>0.001829861111111111</v>
      </c>
      <c r="H6" s="23">
        <f>IFERROR(IF(G6-D6&gt;0, TEXT(ABS(G6-D6), "MM:SS.00"), "-" &amp; TEXT(ABS(G6-D6), "MM:SS.00")),"-")</f>
        <v/>
      </c>
      <c r="I6" s="90">
        <f>IF(D6&lt;=G6,"X",IF(D23&lt;=G23,"X",""))</f>
        <v/>
      </c>
      <c r="J6" s="52" t="n">
        <v>17</v>
      </c>
      <c r="K6" s="35" t="n">
        <v>0.001642361111111111</v>
      </c>
      <c r="L6" s="34">
        <f>IFERROR(IF(K6-D6&gt;0, K6-D6, "-" &amp; TEXT(ABS(K6-D6), "MM:SS.00")), "-")</f>
        <v/>
      </c>
      <c r="M6" s="90" t="n"/>
      <c r="N6" s="130" t="n">
        <v>0.001726851851851852</v>
      </c>
      <c r="O6" s="34">
        <f>IFERROR(IF(N6-D6&gt;0, N6-D6, "-" &amp; TEXT(ABS(N6-D6), "MM:SS.00")), "-")</f>
        <v/>
      </c>
      <c r="P6" s="130" t="n">
        <v>0.001642361111111111</v>
      </c>
      <c r="Q6" s="34">
        <f>IFERROR(IF(P6-D6&gt;0, P6-D6, "-" &amp; TEXT(ABS(P6-D6), "MM:SS.00")), "-")</f>
        <v/>
      </c>
      <c r="R6" s="55" t="n">
        <v>31</v>
      </c>
      <c r="S6" s="39" t="n"/>
      <c r="T6" s="39" t="n"/>
      <c r="U6" s="40" t="n"/>
      <c r="V6" s="61" t="n"/>
      <c r="W6" s="66" t="n"/>
      <c r="X6" s="102" t="inlineStr">
        <is>
          <t>S1-1</t>
        </is>
      </c>
      <c r="Y6" s="102" t="inlineStr">
        <is>
          <t>S4-2</t>
        </is>
      </c>
      <c r="Z6" s="95" t="n"/>
      <c r="AA6" s="102" t="n"/>
      <c r="AB6" s="102" t="inlineStr">
        <is>
          <t>S6-4C</t>
        </is>
      </c>
      <c r="AC6" s="64" t="inlineStr">
        <is>
          <t>S2-1</t>
        </is>
      </c>
      <c r="AD6" s="64" t="n"/>
      <c r="AE6" s="64" t="n"/>
      <c r="AF6" s="64" t="inlineStr">
        <is>
          <t>S4-2</t>
        </is>
      </c>
      <c r="AG6" s="64" t="n"/>
      <c r="AH6" s="64" t="n"/>
      <c r="AI6" s="64" t="inlineStr">
        <is>
          <t>S4-2</t>
        </is>
      </c>
      <c r="AJ6" s="64" t="n"/>
      <c r="AK6" s="64" t="n"/>
      <c r="AL6" s="64" t="n"/>
      <c r="AM6" s="64" t="n"/>
      <c r="AN6" s="64" t="inlineStr">
        <is>
          <t>S4-2</t>
        </is>
      </c>
      <c r="AO6" s="64" t="n"/>
      <c r="AP6" s="64" t="inlineStr">
        <is>
          <t>L5-3</t>
        </is>
      </c>
      <c r="AQ6" s="64" t="n"/>
    </row>
    <row r="7">
      <c r="B7" s="14" t="inlineStr">
        <is>
          <t>S</t>
        </is>
      </c>
      <c r="C7" s="5" t="inlineStr">
        <is>
          <t>400 Free</t>
        </is>
      </c>
      <c r="D7" s="126" t="n">
        <v>0.003983912037037037</v>
      </c>
      <c r="E7" s="45" t="n">
        <v>45970</v>
      </c>
      <c r="F7" s="49" t="n">
        <v>97</v>
      </c>
      <c r="G7" s="114" t="n">
        <v>0.003886574074074074</v>
      </c>
      <c r="H7" s="23">
        <f>IFERROR(IF(G7-D7&gt;0, TEXT(ABS(G7-D7), "MM:SS.00"), "-" &amp; TEXT(ABS(G7-D7), "MM:SS.00")),"-")</f>
        <v/>
      </c>
      <c r="I7" s="90">
        <f>IF(D7&lt;=G7,"X",IF(D24&lt;=G24,"X",""))</f>
        <v/>
      </c>
      <c r="J7" s="52" t="n">
        <v>10</v>
      </c>
      <c r="K7" s="35" t="n">
        <v>0.003487268518518518</v>
      </c>
      <c r="L7" s="34">
        <f>IFERROR(IF(K7-D7&gt;0, K7-D7, "-" &amp; TEXT(ABS(K7-D7), "MM:SS.00")), "-")</f>
        <v/>
      </c>
      <c r="M7" s="90" t="n"/>
      <c r="N7" s="130" t="n">
        <v>0.003666666666666667</v>
      </c>
      <c r="O7" s="34">
        <f>IFERROR(IF(N7-D7&gt;0, N7-D7, "-" &amp; TEXT(ABS(N7-D7), "MM:SS.00")), "-")</f>
        <v/>
      </c>
      <c r="P7" s="130" t="n">
        <v>0.003487268518518518</v>
      </c>
      <c r="Q7" s="34">
        <f>IFERROR(IF(P7-D7&gt;0, P7-D7, "-" &amp; TEXT(ABS(P7-D7), "MM:SS.00")), "-")</f>
        <v/>
      </c>
      <c r="R7" s="55" t="n">
        <v>19</v>
      </c>
      <c r="S7" s="39" t="n"/>
      <c r="T7" s="39" t="n"/>
      <c r="U7" s="40" t="n"/>
      <c r="V7" s="61" t="n"/>
      <c r="W7" s="66" t="n"/>
      <c r="X7" s="102" t="n"/>
      <c r="Y7" s="102" t="inlineStr">
        <is>
          <t>S1-1</t>
        </is>
      </c>
      <c r="Z7" s="95" t="n"/>
      <c r="AA7" s="102" t="inlineStr">
        <is>
          <t>S3-4C</t>
        </is>
      </c>
      <c r="AB7" s="102" t="n"/>
      <c r="AC7" s="64" t="inlineStr">
        <is>
          <t>S4-1</t>
        </is>
      </c>
      <c r="AD7" s="64" t="n"/>
      <c r="AE7" s="64" t="n"/>
      <c r="AF7" s="64" t="inlineStr">
        <is>
          <t>S1-1</t>
        </is>
      </c>
      <c r="AG7" s="64" t="n"/>
      <c r="AH7" s="64" t="inlineStr">
        <is>
          <t>S1-3</t>
        </is>
      </c>
      <c r="AI7" s="64" t="inlineStr">
        <is>
          <t>S1-1</t>
        </is>
      </c>
      <c r="AJ7" s="64" t="n"/>
      <c r="AK7" s="64" t="n"/>
      <c r="AL7" s="64" t="n"/>
      <c r="AM7" s="64" t="n"/>
      <c r="AN7" s="64" t="inlineStr">
        <is>
          <t>S1-1</t>
        </is>
      </c>
      <c r="AO7" s="64" t="n"/>
      <c r="AP7" s="64" t="n"/>
      <c r="AQ7" s="64" t="n"/>
    </row>
    <row r="8">
      <c r="B8" s="14" t="inlineStr">
        <is>
          <t>S</t>
        </is>
      </c>
      <c r="C8" s="5" t="inlineStr">
        <is>
          <t>800 Free</t>
        </is>
      </c>
      <c r="D8" s="126" t="n">
        <v>0.008078703703703704</v>
      </c>
      <c r="E8" s="45" t="n">
        <v>45968</v>
      </c>
      <c r="F8" s="49" t="n">
        <v>97</v>
      </c>
      <c r="G8" s="114" t="n">
        <v>0.008622685185185185</v>
      </c>
      <c r="H8" s="23">
        <f>IFERROR(IF(G8-D8&gt;0, TEXT(ABS(G8-D8), "MM:SS.00"), "-" &amp; TEXT(ABS(G8-D8), "MM:SS.00")),"-")</f>
        <v/>
      </c>
      <c r="I8" s="90">
        <f>IF(D8&lt;=G8,"X",IF(D25&lt;=G25,"X",""))</f>
        <v/>
      </c>
      <c r="J8" s="52" t="n">
        <v>2</v>
      </c>
      <c r="K8" s="35" t="n">
        <v>0.007033564814814815</v>
      </c>
      <c r="L8" s="34">
        <f>IFERROR(IF(K8-D8&gt;0, K8-D8, "-" &amp; TEXT(ABS(K8-D8), "MM:SS.00")), "-")</f>
        <v/>
      </c>
      <c r="M8" s="90" t="n"/>
      <c r="N8" s="130" t="n">
        <v>0.007395833333333333</v>
      </c>
      <c r="O8" s="34">
        <f>IFERROR(IF(N8-D8&gt;0, N8-D8, "-" &amp; TEXT(ABS(N8-D8), "MM:SS.00")), "-")</f>
        <v/>
      </c>
      <c r="P8" s="130" t="n">
        <v>0.007033564814814815</v>
      </c>
      <c r="Q8" s="34">
        <f>IFERROR(IF(P8-D8&gt;0, P8-D8, "-" &amp; TEXT(ABS(P8-D8), "MM:SS.00")), "-")</f>
        <v/>
      </c>
      <c r="R8" s="55" t="n"/>
      <c r="S8" s="39" t="n"/>
      <c r="T8" s="39" t="n"/>
      <c r="U8" s="40" t="n"/>
      <c r="V8" s="61" t="n"/>
      <c r="W8" s="66" t="n"/>
      <c r="X8" s="102" t="n"/>
      <c r="Y8" s="102" t="inlineStr">
        <is>
          <t>S1-1</t>
        </is>
      </c>
      <c r="Z8" s="95" t="n"/>
      <c r="AA8" s="102" t="inlineStr">
        <is>
          <t>S3-4C</t>
        </is>
      </c>
      <c r="AB8" s="102" t="n"/>
      <c r="AC8" s="64" t="inlineStr">
        <is>
          <t>S4-1</t>
        </is>
      </c>
      <c r="AD8" s="64" t="n"/>
      <c r="AE8" s="64" t="n"/>
      <c r="AF8" s="64" t="inlineStr">
        <is>
          <t>S1-1</t>
        </is>
      </c>
      <c r="AG8" s="64" t="n"/>
      <c r="AH8" s="64" t="inlineStr">
        <is>
          <t>Friday</t>
        </is>
      </c>
      <c r="AI8" s="64" t="n"/>
      <c r="AJ8" s="64" t="n"/>
      <c r="AK8" s="64" t="n"/>
      <c r="AL8" s="64" t="inlineStr">
        <is>
          <t>L2-1</t>
        </is>
      </c>
      <c r="AM8" s="64" t="n"/>
      <c r="AN8" s="64" t="n"/>
      <c r="AO8" s="64" t="n"/>
      <c r="AP8" s="64" t="inlineStr">
        <is>
          <t>L1-1</t>
        </is>
      </c>
      <c r="AQ8" s="64" t="n"/>
    </row>
    <row r="9">
      <c r="B9" s="14" t="inlineStr">
        <is>
          <t>S</t>
        </is>
      </c>
      <c r="C9" s="5" t="inlineStr">
        <is>
          <t>1500 Free</t>
        </is>
      </c>
      <c r="D9" s="126" t="inlineStr">
        <is>
          <t>-</t>
        </is>
      </c>
      <c r="E9" s="45" t="n"/>
      <c r="F9" s="49" t="n">
        <v>97</v>
      </c>
      <c r="G9" s="114" t="n"/>
      <c r="H9" s="23">
        <f>IFERROR(IF(G9-D9&gt;0, TEXT(ABS(G9-D9), "MM:SS.00"), "-" &amp; TEXT(ABS(G9-D9), "MM:SS.00")),"-")</f>
        <v/>
      </c>
      <c r="I9" s="90" t="n"/>
      <c r="J9" s="52" t="n">
        <v>10</v>
      </c>
      <c r="K9" s="35" t="n">
        <v>0.01368865740740741</v>
      </c>
      <c r="L9" s="34">
        <f>IFERROR(IF(K9-D9&gt;0, K9-D9, "-" &amp; TEXT(ABS(K9-D9), "MM:SS.00")), "-")</f>
        <v/>
      </c>
      <c r="M9" s="90" t="n"/>
      <c r="N9" s="130" t="n">
        <v>0.01439236111111111</v>
      </c>
      <c r="O9" s="34">
        <f>IFERROR(IF(N9-D9&gt;0, N9-D9, "-" &amp; TEXT(ABS(N9-D9), "MM:SS.00")), "-")</f>
        <v/>
      </c>
      <c r="P9" s="130" t="n">
        <v>0.01368865740740741</v>
      </c>
      <c r="Q9" s="34">
        <f>IFERROR(IF(P9-D9&gt;0, P9-D9, "-" &amp; TEXT(ABS(P9-D9), "MM:SS.00")), "-")</f>
        <v/>
      </c>
      <c r="R9" s="55" t="n"/>
      <c r="S9" s="39" t="n"/>
      <c r="T9" s="39" t="n"/>
      <c r="U9" s="40" t="n"/>
      <c r="V9" s="61" t="n"/>
      <c r="W9" s="66" t="n"/>
      <c r="X9" s="102" t="n"/>
      <c r="Y9" s="102" t="inlineStr">
        <is>
          <t>S1-1</t>
        </is>
      </c>
      <c r="Z9" s="95" t="n"/>
      <c r="AA9" s="102" t="inlineStr">
        <is>
          <t>S3-4C</t>
        </is>
      </c>
      <c r="AB9" s="102" t="n"/>
      <c r="AC9" s="64" t="inlineStr">
        <is>
          <t>S4-1</t>
        </is>
      </c>
      <c r="AD9" s="64" t="n"/>
      <c r="AE9" s="64" t="n"/>
      <c r="AF9" s="64" t="inlineStr">
        <is>
          <t>S1-1</t>
        </is>
      </c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</row>
    <row r="10">
      <c r="A10" s="4" t="n"/>
      <c r="B10" s="14" t="inlineStr">
        <is>
          <t>S</t>
        </is>
      </c>
      <c r="C10" s="5" t="inlineStr">
        <is>
          <t>50 Back</t>
        </is>
      </c>
      <c r="D10" s="126" t="n">
        <v>0.0004322916666666667</v>
      </c>
      <c r="E10" s="45" t="n">
        <v>45851</v>
      </c>
      <c r="F10" s="49" t="n">
        <v>73</v>
      </c>
      <c r="G10" s="114" t="n">
        <v>0.0004421296296296297</v>
      </c>
      <c r="H10" s="23">
        <f>IFERROR(IF(G10-D10&gt;0, TEXT(ABS(G10-D10), "MM:SS.00"), "-" &amp; TEXT(ABS(G10-D10), "MM:SS.00")),"-")</f>
        <v/>
      </c>
      <c r="I10" s="90">
        <f>IF(D10&lt;=G10,"X",IF(D27&lt;=G27,"X",""))</f>
        <v/>
      </c>
      <c r="J10" s="52" t="n">
        <v>3</v>
      </c>
      <c r="K10" s="35" t="n">
        <v>0.0004074074074074074</v>
      </c>
      <c r="L10" s="34">
        <f>IFERROR(IF(K10-D10&gt;0, K10-D10, "-" &amp; TEXT(ABS(K10-D10), "MM:SS.00")), "-")</f>
        <v/>
      </c>
      <c r="M10" s="90" t="n"/>
      <c r="N10" s="130" t="n">
        <v>0.0004293981481481482</v>
      </c>
      <c r="O10" s="34">
        <f>IFERROR(IF(N10-D10&gt;0, N10-D10, "-" &amp; TEXT(ABS(N10-D10), "MM:SS.00")), "-")</f>
        <v/>
      </c>
      <c r="P10" s="130" t="n">
        <v>0.0004074074074074074</v>
      </c>
      <c r="Q10" s="34">
        <f>IFERROR(IF(P10-D10&gt;0, P10-D10, "-" &amp; TEXT(ABS(P10-D10), "MM:SS.00")), "-")</f>
        <v/>
      </c>
      <c r="R10" s="55" t="n">
        <v>7</v>
      </c>
      <c r="S10" s="39" t="n"/>
      <c r="T10" s="39" t="n"/>
      <c r="U10" s="40" t="n"/>
      <c r="V10" s="61" t="n"/>
      <c r="W10" s="66" t="n"/>
      <c r="X10" s="102" t="n"/>
      <c r="Y10" s="102" t="inlineStr">
        <is>
          <t>S4-1</t>
        </is>
      </c>
      <c r="Z10" s="95" t="inlineStr">
        <is>
          <t>S1-3</t>
        </is>
      </c>
      <c r="AA10" s="102" t="inlineStr">
        <is>
          <t>S1-3</t>
        </is>
      </c>
      <c r="AB10" s="102" t="n"/>
      <c r="AC10" s="64" t="inlineStr">
        <is>
          <t>S2-2</t>
        </is>
      </c>
      <c r="AD10" s="64" t="n"/>
      <c r="AE10" s="64" t="inlineStr">
        <is>
          <t>S2-3</t>
        </is>
      </c>
      <c r="AF10" s="64" t="inlineStr">
        <is>
          <t>S4-1</t>
        </is>
      </c>
      <c r="AG10" s="64" t="inlineStr">
        <is>
          <t>S4-1</t>
        </is>
      </c>
      <c r="AH10" s="64" t="inlineStr">
        <is>
          <t>S1-2</t>
        </is>
      </c>
      <c r="AI10" s="64" t="inlineStr">
        <is>
          <t>S4-1</t>
        </is>
      </c>
      <c r="AJ10" s="64" t="inlineStr">
        <is>
          <t>S2-2</t>
        </is>
      </c>
      <c r="AK10" s="64" t="inlineStr">
        <is>
          <t>S3</t>
        </is>
      </c>
      <c r="AL10" s="64" t="inlineStr">
        <is>
          <t>L1-1</t>
        </is>
      </c>
      <c r="AM10" s="64" t="n"/>
      <c r="AN10" s="64" t="inlineStr">
        <is>
          <t>S4-1</t>
        </is>
      </c>
      <c r="AO10" s="64" t="inlineStr">
        <is>
          <t>L2-2</t>
        </is>
      </c>
      <c r="AP10" s="64" t="inlineStr">
        <is>
          <t>L2-2</t>
        </is>
      </c>
      <c r="AQ10" s="64" t="n"/>
    </row>
    <row r="11">
      <c r="B11" s="14" t="inlineStr">
        <is>
          <t>S</t>
        </is>
      </c>
      <c r="C11" s="5" t="inlineStr">
        <is>
          <t>100 Back</t>
        </is>
      </c>
      <c r="D11" s="126" t="n">
        <v>0.0009407407407407408</v>
      </c>
      <c r="E11" s="45" t="n">
        <v>45634</v>
      </c>
      <c r="F11" s="49" t="n">
        <v>53</v>
      </c>
      <c r="G11" s="114" t="n">
        <v>0.0009710648148148149</v>
      </c>
      <c r="H11" s="23">
        <f>IFERROR(IF(G11-D11&gt;0, TEXT(ABS(G11-D11), "MM:SS.00"), "-" &amp; TEXT(ABS(G11-D11), "MM:SS.00")),"-")</f>
        <v/>
      </c>
      <c r="I11" s="90">
        <f>IF(D11&lt;=G11,"X",IF(D28&lt;=G28,"X",""))</f>
        <v/>
      </c>
      <c r="J11" s="52" t="n">
        <v>4</v>
      </c>
      <c r="K11" s="35" t="n">
        <v>0.000880787037037037</v>
      </c>
      <c r="L11" s="34">
        <f>IFERROR(IF(K11-D11&gt;0, K11-D11, "-" &amp; TEXT(ABS(K11-D11), "MM:SS.00")), "-")</f>
        <v/>
      </c>
      <c r="M11" s="90" t="n"/>
      <c r="N11" s="130" t="n">
        <v>0.000925925925925926</v>
      </c>
      <c r="O11" s="34">
        <f>IFERROR(IF(N11-D11&gt;0, N11-D11, "-" &amp; TEXT(ABS(N11-D11), "MM:SS.00")), "-")</f>
        <v/>
      </c>
      <c r="P11" s="130" t="n">
        <v>0.000880787037037037</v>
      </c>
      <c r="Q11" s="34">
        <f>IFERROR(IF(P11-D11&gt;0, P11-D11, "-" &amp; TEXT(ABS(P11-D11), "MM:SS.00")), "-")</f>
        <v/>
      </c>
      <c r="R11" s="55" t="n">
        <v>8</v>
      </c>
      <c r="S11" s="39" t="n"/>
      <c r="T11" s="39" t="n"/>
      <c r="U11" s="40" t="n"/>
      <c r="V11" s="61" t="n"/>
      <c r="W11" s="66" t="n"/>
      <c r="X11" s="102" t="n"/>
      <c r="Y11" s="102" t="inlineStr">
        <is>
          <t>S2-2</t>
        </is>
      </c>
      <c r="Z11" s="95" t="n"/>
      <c r="AA11" s="102" t="n"/>
      <c r="AB11" s="102" t="inlineStr">
        <is>
          <t>S6-2</t>
        </is>
      </c>
      <c r="AC11" s="64" t="inlineStr">
        <is>
          <t>S4-2</t>
        </is>
      </c>
      <c r="AD11" s="64" t="n"/>
      <c r="AE11" s="64" t="n"/>
      <c r="AF11" s="64" t="inlineStr">
        <is>
          <t>S2-2</t>
        </is>
      </c>
      <c r="AG11" s="64" t="inlineStr">
        <is>
          <t>S3-1</t>
        </is>
      </c>
      <c r="AH11" s="122" t="inlineStr">
        <is>
          <t>S2-2</t>
        </is>
      </c>
      <c r="AI11" s="122" t="inlineStr">
        <is>
          <t>S2-2</t>
        </is>
      </c>
      <c r="AJ11" s="122" t="n"/>
      <c r="AK11" s="134" t="n"/>
      <c r="AL11" s="134" t="n"/>
      <c r="AM11" s="134" t="inlineStr">
        <is>
          <t>L6-1</t>
        </is>
      </c>
      <c r="AN11" s="134" t="inlineStr">
        <is>
          <t>S2-3</t>
        </is>
      </c>
      <c r="AO11" s="134" t="inlineStr">
        <is>
          <t>L1-2</t>
        </is>
      </c>
      <c r="AP11" s="134" t="inlineStr">
        <is>
          <t>L5-1</t>
        </is>
      </c>
      <c r="AQ11" s="134" t="n"/>
    </row>
    <row r="12">
      <c r="B12" s="14" t="inlineStr">
        <is>
          <t>S</t>
        </is>
      </c>
      <c r="C12" s="5" t="inlineStr">
        <is>
          <t>200 Back</t>
        </is>
      </c>
      <c r="D12" s="126" t="n">
        <v>0.002012962962962963</v>
      </c>
      <c r="E12" s="45" t="n">
        <v>45991</v>
      </c>
      <c r="F12" s="49" t="inlineStr">
        <is>
          <t>100+</t>
        </is>
      </c>
      <c r="G12" s="114" t="n">
        <v>0.002096064814814815</v>
      </c>
      <c r="H12" s="23">
        <f>IFERROR(IF(G12-D12&gt;0, TEXT(ABS(G12-D12), "MM:SS.00"), "-" &amp; TEXT(ABS(G12-D12), "MM:SS.00")),"-")</f>
        <v/>
      </c>
      <c r="I12" s="90">
        <f>IF(D12&lt;=G12,"X",IF(D29&lt;=G29,"X",""))</f>
        <v/>
      </c>
      <c r="J12" s="52" t="n">
        <v>7</v>
      </c>
      <c r="K12" s="35" t="n">
        <v>0.001865740740740741</v>
      </c>
      <c r="L12" s="34">
        <f>IFERROR(IF(K12-D12&gt;0, K12-D12, "-" &amp; TEXT(ABS(K12-D12), "MM:SS.00")), "-")</f>
        <v/>
      </c>
      <c r="M12" s="90" t="n"/>
      <c r="N12" s="130" t="n">
        <v>0.001960648148148148</v>
      </c>
      <c r="O12" s="34">
        <f>IFERROR(IF(N12-D12&gt;0, N12-D12, "-" &amp; TEXT(ABS(N12-D12), "MM:SS.00")), "-")</f>
        <v/>
      </c>
      <c r="P12" s="130" t="n">
        <v>0.001865740740740741</v>
      </c>
      <c r="Q12" s="34">
        <f>IFERROR(IF(P12-D12&gt;0, P12-D12, "-" &amp; TEXT(ABS(P12-D12), "MM:SS.00")), "-")</f>
        <v/>
      </c>
      <c r="R12" s="55" t="n"/>
      <c r="S12" s="39" t="n"/>
      <c r="T12" s="39" t="n"/>
      <c r="U12" s="40" t="n"/>
      <c r="V12" s="61" t="n"/>
      <c r="W12" s="66" t="n"/>
      <c r="X12" s="102" t="n"/>
      <c r="Y12" s="102" t="inlineStr">
        <is>
          <t>S3-2</t>
        </is>
      </c>
      <c r="Z12" s="95" t="n"/>
      <c r="AA12" s="102" t="n"/>
      <c r="AB12" s="102" t="inlineStr">
        <is>
          <t>S7-2</t>
        </is>
      </c>
      <c r="AC12" s="64" t="inlineStr">
        <is>
          <t>S1-1</t>
        </is>
      </c>
      <c r="AD12" s="64" t="n"/>
      <c r="AE12" s="64" t="n"/>
      <c r="AF12" s="64" t="inlineStr">
        <is>
          <t>S3-2</t>
        </is>
      </c>
      <c r="AG12" s="64" t="inlineStr">
        <is>
          <t>S1-2</t>
        </is>
      </c>
      <c r="AH12" s="64" t="n"/>
      <c r="AI12" s="64" t="n"/>
      <c r="AJ12" s="64" t="inlineStr">
        <is>
          <t>S1-1</t>
        </is>
      </c>
      <c r="AK12" s="64" t="n"/>
      <c r="AL12" s="64" t="n"/>
      <c r="AM12" s="64" t="inlineStr">
        <is>
          <t>L7-1</t>
        </is>
      </c>
      <c r="AN12" s="64" t="inlineStr">
        <is>
          <t>S3-2</t>
        </is>
      </c>
      <c r="AO12" s="64" t="n"/>
      <c r="AP12" s="64" t="inlineStr">
        <is>
          <t>L6-1</t>
        </is>
      </c>
      <c r="AQ12" s="64" t="n"/>
    </row>
    <row r="13">
      <c r="B13" s="14" t="inlineStr">
        <is>
          <t>S</t>
        </is>
      </c>
      <c r="C13" s="5" t="inlineStr">
        <is>
          <t>50 Breast</t>
        </is>
      </c>
      <c r="D13" s="126" t="n">
        <v>0.0005456018518518519</v>
      </c>
      <c r="E13" s="45" t="n">
        <v>45990</v>
      </c>
      <c r="F13" s="49" t="inlineStr">
        <is>
          <t>100+</t>
        </is>
      </c>
      <c r="G13" s="114" t="n">
        <v>0.0004930555555555556</v>
      </c>
      <c r="H13" s="23">
        <f>IFERROR(IF(G13-D13&gt;0, TEXT(ABS(G13-D13), "MM:SS.00"), "-" &amp; TEXT(ABS(G13-D13), "MM:SS.00")),"-")</f>
        <v/>
      </c>
      <c r="I13" s="90">
        <f>IF(D13&lt;=G13,"X",IF(D30&lt;=G30,"X",""))</f>
        <v/>
      </c>
      <c r="J13" s="52" t="n">
        <v>12</v>
      </c>
      <c r="K13" s="35" t="n">
        <v>0.0004583333333333333</v>
      </c>
      <c r="L13" s="34">
        <f>IFERROR(IF(K13-D13&gt;0, K13-D13, "-" &amp; TEXT(ABS(K13-D13), "MM:SS.00")), "-")</f>
        <v/>
      </c>
      <c r="M13" s="90" t="n"/>
      <c r="N13" s="130" t="n">
        <v>0.0004814814814814815</v>
      </c>
      <c r="O13" s="34">
        <f>IFERROR(IF(N13-D13&gt;0, N13-D13, "-" &amp; TEXT(ABS(N13-D13), "MM:SS.00")), "-")</f>
        <v/>
      </c>
      <c r="P13" s="130" t="n">
        <v>0.0004583333333333333</v>
      </c>
      <c r="Q13" s="34">
        <f>IFERROR(IF(P13-D13&gt;0, P13-D13, "-" &amp; TEXT(ABS(P13-D13), "MM:SS.00")), "-")</f>
        <v/>
      </c>
      <c r="R13" s="55" t="inlineStr">
        <is>
          <t>100+</t>
        </is>
      </c>
      <c r="S13" s="39" t="n"/>
      <c r="T13" s="39" t="n"/>
      <c r="U13" s="40" t="n"/>
      <c r="V13" s="61" t="n"/>
      <c r="W13" s="66" t="n"/>
      <c r="X13" s="102" t="n"/>
      <c r="Y13" s="102" t="inlineStr">
        <is>
          <t>S1-2</t>
        </is>
      </c>
      <c r="Z13" s="95" t="n"/>
      <c r="AA13" s="102" t="n"/>
      <c r="AB13" s="102" t="n"/>
      <c r="AC13" s="64" t="n"/>
      <c r="AD13" s="64" t="n"/>
      <c r="AE13" s="64" t="n"/>
      <c r="AF13" s="64" t="inlineStr">
        <is>
          <t>S1-2</t>
        </is>
      </c>
      <c r="AG13" s="64" t="n"/>
      <c r="AH13" s="64" t="inlineStr">
        <is>
          <t>S1-4</t>
        </is>
      </c>
      <c r="AI13" s="64" t="inlineStr">
        <is>
          <t>S1-2</t>
        </is>
      </c>
      <c r="AJ13" s="64" t="n"/>
      <c r="AK13" s="64" t="n"/>
      <c r="AL13" s="64" t="n"/>
      <c r="AM13" s="64" t="n"/>
      <c r="AN13" s="64" t="inlineStr">
        <is>
          <t>S1-2</t>
        </is>
      </c>
      <c r="AO13" s="64" t="n"/>
      <c r="AP13" s="64" t="inlineStr">
        <is>
          <t>L3-2</t>
        </is>
      </c>
      <c r="AQ13" s="64" t="n"/>
    </row>
    <row r="14">
      <c r="B14" s="14" t="inlineStr">
        <is>
          <t>S</t>
        </is>
      </c>
      <c r="C14" s="5" t="inlineStr">
        <is>
          <t>100 Breast</t>
        </is>
      </c>
      <c r="D14" s="126" t="n">
        <v>0.001230555555555555</v>
      </c>
      <c r="E14" s="45" t="n">
        <v>45787</v>
      </c>
      <c r="F14" s="49" t="inlineStr">
        <is>
          <t>100+</t>
        </is>
      </c>
      <c r="G14" s="114" t="n">
        <v>0.001099537037037037</v>
      </c>
      <c r="H14" s="23">
        <f>IFERROR(IF(G14-D14&gt;0, TEXT(ABS(G14-D14), "MM:SS.00"), "-" &amp; TEXT(ABS(G14-D14), "MM:SS.00")),"-")</f>
        <v/>
      </c>
      <c r="I14" s="90">
        <f>IF(D14&lt;=G14,"X",IF(D31&lt;=G31,"X",""))</f>
        <v/>
      </c>
      <c r="J14" s="52" t="n">
        <v>25</v>
      </c>
      <c r="K14" s="35" t="n">
        <v>0.001023148148148148</v>
      </c>
      <c r="L14" s="34">
        <f>IFERROR(IF(K14-D14&gt;0, K14-D14, "-" &amp; TEXT(ABS(K14-D14), "MM:SS.00")), "-")</f>
        <v/>
      </c>
      <c r="M14" s="90" t="n"/>
      <c r="N14" s="130" t="n">
        <v>0.001076388888888889</v>
      </c>
      <c r="O14" s="34">
        <f>IFERROR(IF(N14-D14&gt;0, N14-D14, "-" &amp; TEXT(ABS(N14-D14), "MM:SS.00")), "-")</f>
        <v/>
      </c>
      <c r="P14" s="130" t="n">
        <v>0.001023148148148148</v>
      </c>
      <c r="Q14" s="34">
        <f>IFERROR(IF(P14-D14&gt;0, P14-D14, "-" &amp; TEXT(ABS(P14-D14), "MM:SS.00")), "-")</f>
        <v/>
      </c>
      <c r="R14" s="55" t="n">
        <v>54</v>
      </c>
      <c r="S14" s="39" t="n"/>
      <c r="T14" s="39" t="n"/>
      <c r="U14" s="40" t="n"/>
      <c r="V14" s="61" t="n"/>
      <c r="W14" s="66" t="n"/>
      <c r="X14" s="102" t="n"/>
      <c r="Y14" s="102" t="n"/>
      <c r="Z14" s="95" t="n"/>
      <c r="AA14" s="102" t="n"/>
      <c r="AB14" s="102" t="n"/>
      <c r="AC14" s="64" t="n"/>
      <c r="AD14" s="64" t="inlineStr">
        <is>
          <t>S1-2</t>
        </is>
      </c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inlineStr">
        <is>
          <t>L2-1</t>
        </is>
      </c>
      <c r="AQ14" s="64" t="inlineStr">
        <is>
          <t>S2</t>
        </is>
      </c>
    </row>
    <row r="15">
      <c r="B15" s="14" t="inlineStr">
        <is>
          <t>S</t>
        </is>
      </c>
      <c r="C15" s="5" t="inlineStr">
        <is>
          <t>200 Breast</t>
        </is>
      </c>
      <c r="D15" s="126" t="inlineStr">
        <is>
          <t>-</t>
        </is>
      </c>
      <c r="E15" s="45" t="n"/>
      <c r="F15" s="49" t="n">
        <v>97</v>
      </c>
      <c r="G15" s="114" t="n"/>
      <c r="H15" s="23">
        <f>IFERROR(IF(G15-D15&gt;0, TEXT(ABS(G15-D15), "MM:SS.00"), "-" &amp; TEXT(ABS(G15-D15), "MM:SS.00")),"-")</f>
        <v/>
      </c>
      <c r="I15" s="90" t="n"/>
      <c r="J15" s="52" t="n">
        <v>10</v>
      </c>
      <c r="K15" s="35" t="n">
        <v>0.0021875</v>
      </c>
      <c r="L15" s="34">
        <f>IFERROR(IF(K15-D15&gt;0, K15-D15, "-" &amp; TEXT(ABS(K15-D15), "MM:SS.00")), "-")</f>
        <v/>
      </c>
      <c r="M15" s="90" t="n"/>
      <c r="N15" s="130" t="n">
        <v>0.002300925925925926</v>
      </c>
      <c r="O15" s="34">
        <f>IFERROR(IF(N15-D15&gt;0, N15-D15, "-" &amp; TEXT(ABS(N15-D15), "MM:SS.00")), "-")</f>
        <v/>
      </c>
      <c r="P15" s="130" t="n">
        <v>0.0021875</v>
      </c>
      <c r="Q15" s="34">
        <f>IFERROR(IF(P15-D15&gt;0, P15-D15, "-" &amp; TEXT(ABS(P15-D15), "MM:SS.00")), "-")</f>
        <v/>
      </c>
      <c r="R15" s="55" t="n"/>
      <c r="S15" s="39" t="n"/>
      <c r="T15" s="39" t="n"/>
      <c r="U15" s="40" t="n"/>
      <c r="V15" s="61" t="n"/>
      <c r="W15" s="66" t="n"/>
      <c r="X15" s="102" t="n"/>
      <c r="Y15" s="102" t="inlineStr">
        <is>
          <t>S1-1</t>
        </is>
      </c>
      <c r="Z15" s="95" t="n"/>
      <c r="AA15" s="102" t="inlineStr">
        <is>
          <t>S3-4C</t>
        </is>
      </c>
      <c r="AB15" s="102" t="n"/>
      <c r="AC15" s="64" t="inlineStr">
        <is>
          <t>S4-1</t>
        </is>
      </c>
      <c r="AD15" s="64" t="n"/>
      <c r="AE15" s="64" t="n"/>
      <c r="AF15" s="64" t="inlineStr">
        <is>
          <t>S1-1</t>
        </is>
      </c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</row>
    <row r="16">
      <c r="A16" s="4" t="n"/>
      <c r="B16" s="14" t="inlineStr">
        <is>
          <t>S</t>
        </is>
      </c>
      <c r="C16" s="5" t="inlineStr">
        <is>
          <t>50 Fly</t>
        </is>
      </c>
      <c r="D16" s="126" t="n">
        <v>0.0004188657407407407</v>
      </c>
      <c r="E16" s="45" t="n">
        <v>45934</v>
      </c>
      <c r="F16" s="49" t="n">
        <v>63</v>
      </c>
      <c r="G16" s="114" t="n">
        <v>0.0004178240740740741</v>
      </c>
      <c r="H16" s="23">
        <f>IFERROR(IF(G16-D16&gt;0, TEXT(ABS(G16-D16), "MM:SS.00"), "-" &amp; TEXT(ABS(G16-D16), "MM:SS.00")),"-")</f>
        <v/>
      </c>
      <c r="I16" s="90" t="inlineStr">
        <is>
          <t>X</t>
        </is>
      </c>
      <c r="J16" s="52" t="n">
        <v>6</v>
      </c>
      <c r="K16" s="35" t="n">
        <v>0.0003877314814814815</v>
      </c>
      <c r="L16" s="34">
        <f>IFERROR(IF(K16-D16&gt;0, K16-D16, "-" &amp; TEXT(ABS(K16-D16), "MM:SS.00")), "-")</f>
        <v/>
      </c>
      <c r="M16" s="90" t="n"/>
      <c r="N16" s="130" t="n">
        <v>0.0004085648148148148</v>
      </c>
      <c r="O16" s="34">
        <f>IFERROR(IF(N16-D16&gt;0, N16-D16, "-" &amp; TEXT(ABS(N16-D16), "MM:SS.00")), "-")</f>
        <v/>
      </c>
      <c r="P16" s="130" t="n">
        <v>0.0003877314814814815</v>
      </c>
      <c r="Q16" s="34">
        <f>IFERROR(IF(P16-D16&gt;0, P16-D16, "-" &amp; TEXT(ABS(P16-D16), "MM:SS.00")), "-")</f>
        <v/>
      </c>
      <c r="R16" s="55" t="n">
        <v>19</v>
      </c>
      <c r="S16" s="39" t="n"/>
      <c r="T16" s="39" t="n"/>
      <c r="U16" s="40" t="n"/>
      <c r="V16" s="61" t="n"/>
      <c r="W16" s="66" t="n"/>
      <c r="X16" s="102" t="n"/>
      <c r="Y16" s="102" t="inlineStr">
        <is>
          <t>S3-1</t>
        </is>
      </c>
      <c r="Z16" s="95" t="inlineStr">
        <is>
          <t>S1-1</t>
        </is>
      </c>
      <c r="AA16" s="102" t="inlineStr">
        <is>
          <t>S4-2</t>
        </is>
      </c>
      <c r="AB16" s="102" t="n"/>
      <c r="AC16" s="64" t="inlineStr">
        <is>
          <t>S3-2</t>
        </is>
      </c>
      <c r="AD16" s="64" t="n"/>
      <c r="AE16" s="64" t="n"/>
      <c r="AF16" s="64" t="inlineStr">
        <is>
          <t>S3-1</t>
        </is>
      </c>
      <c r="AG16" s="64" t="inlineStr">
        <is>
          <t>S1-1</t>
        </is>
      </c>
      <c r="AH16" s="64" t="inlineStr">
        <is>
          <t>S2-3</t>
        </is>
      </c>
      <c r="AI16" s="64" t="inlineStr">
        <is>
          <t>S3-1</t>
        </is>
      </c>
      <c r="AJ16" s="64" t="inlineStr">
        <is>
          <t>S1-2</t>
        </is>
      </c>
      <c r="AK16" s="64" t="inlineStr">
        <is>
          <t>S1</t>
        </is>
      </c>
      <c r="AL16" s="64" t="inlineStr">
        <is>
          <t>L4-1</t>
        </is>
      </c>
      <c r="AM16" s="64" t="n"/>
      <c r="AN16" s="64" t="inlineStr">
        <is>
          <t>S3-1</t>
        </is>
      </c>
      <c r="AO16" s="64" t="inlineStr">
        <is>
          <t>L1-1</t>
        </is>
      </c>
      <c r="AP16" s="64" t="inlineStr">
        <is>
          <t>L5-2</t>
        </is>
      </c>
      <c r="AQ16" s="64" t="n"/>
    </row>
    <row r="17">
      <c r="A17" s="12" t="n"/>
      <c r="B17" s="14" t="inlineStr">
        <is>
          <t>S</t>
        </is>
      </c>
      <c r="C17" s="5" t="inlineStr">
        <is>
          <t>100 Fly</t>
        </is>
      </c>
      <c r="D17" s="126" t="n">
        <v>0.001019560185185185</v>
      </c>
      <c r="E17" s="45" t="n">
        <v>45934</v>
      </c>
      <c r="F17" s="49" t="n">
        <v>65</v>
      </c>
      <c r="G17" s="114" t="n">
        <v>0.001002314814814815</v>
      </c>
      <c r="H17" s="23">
        <f>IFERROR(IF(G17-D17&gt;0, TEXT(ABS(G17-D17), "MM:SS.00"), "-" &amp; TEXT(ABS(G17-D17), "MM:SS.00")),"-")</f>
        <v/>
      </c>
      <c r="I17" s="90" t="inlineStr">
        <is>
          <t>X</t>
        </is>
      </c>
      <c r="J17" s="52" t="n">
        <v>15</v>
      </c>
      <c r="K17" s="35" t="n">
        <v>0.0008958333333333334</v>
      </c>
      <c r="L17" s="34">
        <f>IFERROR(IF(K17-D17&gt;0, K17-D17, "-" &amp; TEXT(ABS(K17-D17), "MM:SS.00")), "-")</f>
        <v/>
      </c>
      <c r="M17" s="90" t="n"/>
      <c r="N17" s="130" t="n">
        <v>0.0009421296296296297</v>
      </c>
      <c r="O17" s="34">
        <f>IFERROR(IF(N17-D17&gt;0, N17-D17, "-" &amp; TEXT(ABS(N17-D17), "MM:SS.00")), "-")</f>
        <v/>
      </c>
      <c r="P17" s="130" t="n">
        <v>0.0008958333333333334</v>
      </c>
      <c r="Q17" s="34">
        <f>IFERROR(IF(P17-D17&gt;0, P17-D17, "-" &amp; TEXT(ABS(P17-D17), "MM:SS.00")), "-")</f>
        <v/>
      </c>
      <c r="R17" s="55" t="n"/>
      <c r="S17" s="39" t="n"/>
      <c r="T17" s="39" t="n"/>
      <c r="U17" s="40" t="n"/>
      <c r="V17" s="61" t="n"/>
      <c r="W17" s="66" t="n"/>
      <c r="X17" s="102" t="n"/>
      <c r="Y17" s="102" t="n"/>
      <c r="Z17" s="95" t="n"/>
      <c r="AA17" s="102" t="n"/>
      <c r="AB17" s="102" t="inlineStr">
        <is>
          <t>S8-3</t>
        </is>
      </c>
      <c r="AC17" s="64" t="inlineStr">
        <is>
          <t>S1-2</t>
        </is>
      </c>
      <c r="AD17" s="64" t="n"/>
      <c r="AE17" s="64" t="inlineStr">
        <is>
          <t>S2-4</t>
        </is>
      </c>
      <c r="AF17" s="64" t="n"/>
      <c r="AG17" s="64" t="inlineStr">
        <is>
          <t>S1-3</t>
        </is>
      </c>
      <c r="AH17" s="64" t="n"/>
      <c r="AI17" s="64" t="n"/>
      <c r="AJ17" s="64" t="inlineStr">
        <is>
          <t>S2-1</t>
        </is>
      </c>
      <c r="AK17" s="64" t="n"/>
      <c r="AL17" s="64" t="n"/>
      <c r="AM17" s="64" t="inlineStr">
        <is>
          <t>L8-1</t>
        </is>
      </c>
      <c r="AN17" s="64" t="inlineStr">
        <is>
          <t>S3-3</t>
        </is>
      </c>
      <c r="AO17" s="64" t="inlineStr">
        <is>
          <t>L2-3</t>
        </is>
      </c>
      <c r="AP17" s="64" t="inlineStr">
        <is>
          <t>L3-3</t>
        </is>
      </c>
      <c r="AQ17" s="64" t="n"/>
    </row>
    <row r="18">
      <c r="A18" s="12" t="n"/>
      <c r="B18" s="14" t="inlineStr">
        <is>
          <t>S</t>
        </is>
      </c>
      <c r="C18" s="5" t="inlineStr">
        <is>
          <t>200 Fly</t>
        </is>
      </c>
      <c r="D18" s="126" t="n">
        <v>0.002603009259259259</v>
      </c>
      <c r="E18" s="45" t="inlineStr">
        <is>
          <t>-</t>
        </is>
      </c>
      <c r="F18" s="49" t="n"/>
      <c r="G18" s="114" t="n">
        <v>0.002604166666666667</v>
      </c>
      <c r="H18" s="23" t="n"/>
      <c r="I18" s="90" t="n"/>
      <c r="J18" s="52" t="n"/>
      <c r="K18" s="35" t="n">
        <v>0.002099537037037037</v>
      </c>
      <c r="L18" s="34" t="n"/>
      <c r="M18" s="90" t="n"/>
      <c r="N18" s="130" t="n">
        <v>0.002206018518518519</v>
      </c>
      <c r="O18" s="34" t="inlineStr">
        <is>
          <t>-</t>
        </is>
      </c>
      <c r="P18" s="130" t="n">
        <v>0.002099537037037037</v>
      </c>
      <c r="Q18" s="34">
        <f>IFERROR(IF(P18-D18&gt;0, P18-D18, "-" &amp; TEXT(ABS(P18-D18), "MM:SS.00")), "-")</f>
        <v/>
      </c>
      <c r="R18" s="55" t="n"/>
      <c r="S18" s="39" t="n"/>
      <c r="T18" s="39" t="n"/>
      <c r="U18" s="40" t="n"/>
      <c r="V18" s="61" t="n"/>
      <c r="W18" s="66" t="n"/>
      <c r="X18" s="102" t="n"/>
      <c r="Y18" s="102" t="n"/>
      <c r="Z18" s="95" t="n"/>
      <c r="AA18" s="102" t="n"/>
      <c r="AB18" s="102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inlineStr">
        <is>
          <t>S2-2</t>
        </is>
      </c>
      <c r="AO18" s="64" t="n"/>
      <c r="AP18" s="64" t="n"/>
      <c r="AQ18" s="64" t="n"/>
    </row>
    <row r="19">
      <c r="A19" s="12" t="n"/>
      <c r="B19" s="14" t="inlineStr">
        <is>
          <t>S</t>
        </is>
      </c>
      <c r="C19" s="5" t="inlineStr">
        <is>
          <t>100 IM</t>
        </is>
      </c>
      <c r="D19" s="126" t="n">
        <v>0.001007986111111111</v>
      </c>
      <c r="E19" s="45" t="n">
        <v>45837</v>
      </c>
      <c r="F19" s="49" t="inlineStr">
        <is>
          <t>100+</t>
        </is>
      </c>
      <c r="G19" s="24" t="inlineStr">
        <is>
          <t>-</t>
        </is>
      </c>
      <c r="H19" s="23">
        <f>IFERROR(IF(G19-D19&gt;0, TEXT(ABS(G19-D19), "MM:SS.00"), "-" &amp; TEXT(ABS(G19-D19), "MM:SS.00")),"-")</f>
        <v/>
      </c>
      <c r="I19" s="90" t="n"/>
      <c r="J19" s="52" t="n">
        <v>9</v>
      </c>
      <c r="K19" s="32" t="inlineStr">
        <is>
          <t>-</t>
        </is>
      </c>
      <c r="L19" s="34" t="n"/>
      <c r="M19" s="90" t="n"/>
      <c r="N19" s="130" t="n"/>
      <c r="O19" s="34" t="inlineStr">
        <is>
          <t>-</t>
        </is>
      </c>
      <c r="P19" s="130" t="n"/>
      <c r="Q19" s="34">
        <f>IFERROR(IF(P19-D19&gt;0, P19-D19, "-" &amp; TEXT(ABS(P19-D19), "MM:SS.00")), "-")</f>
        <v/>
      </c>
      <c r="R19" s="55" t="n">
        <v>18</v>
      </c>
      <c r="S19" s="39" t="n"/>
      <c r="T19" s="39" t="n"/>
      <c r="U19" s="40" t="n"/>
      <c r="V19" s="61" t="n"/>
      <c r="W19" s="67" t="n"/>
      <c r="X19" s="102" t="n"/>
      <c r="Y19" s="102" t="n"/>
      <c r="Z19" s="95" t="n"/>
      <c r="AA19" s="102" t="n"/>
      <c r="AB19" s="102" t="n"/>
      <c r="AC19" s="64" t="n"/>
      <c r="AD19" s="64" t="inlineStr">
        <is>
          <t>S1-3</t>
        </is>
      </c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inlineStr">
        <is>
          <t>S3</t>
        </is>
      </c>
    </row>
    <row r="20" ht="17" customHeight="1" s="224" thickBot="1">
      <c r="A20" s="4" t="n"/>
      <c r="B20" s="68" t="inlineStr">
        <is>
          <t>S</t>
        </is>
      </c>
      <c r="C20" s="69" t="inlineStr">
        <is>
          <t>200 IM</t>
        </is>
      </c>
      <c r="D20" s="127" t="n">
        <v>0.002119097222222222</v>
      </c>
      <c r="E20" s="45" t="n">
        <v>45991</v>
      </c>
      <c r="F20" s="71" t="inlineStr">
        <is>
          <t>100+</t>
        </is>
      </c>
      <c r="G20" s="115" t="n">
        <v>0.002076388888888889</v>
      </c>
      <c r="H20" s="73">
        <f>IFERROR(IF(G20-D20&gt;0, TEXT(ABS(G20-D20), "MM:SS.00"), "-" &amp; TEXT(ABS(G20-D20), "MM:SS.00")),"-")</f>
        <v/>
      </c>
      <c r="I20" s="91" t="n"/>
      <c r="J20" s="74" t="n">
        <v>9</v>
      </c>
      <c r="K20" s="75" t="n">
        <v>0.001878472222222222</v>
      </c>
      <c r="L20" s="37">
        <f>IFERROR(IF(K20-D20&gt;0, K20-D20, "-" &amp; TEXT(ABS(K20-D20), "MM:SS.00")), "-")</f>
        <v/>
      </c>
      <c r="M20" s="91" t="n"/>
      <c r="N20" s="131" t="n">
        <v>0.001975694444444444</v>
      </c>
      <c r="O20" s="37">
        <f>IFERROR(IF(N20-D20&gt;0, N20-D20, "-" &amp; TEXT(ABS(N20-D20), "MM:SS.00")), "-")</f>
        <v/>
      </c>
      <c r="P20" s="131" t="n">
        <v>0.001878472222222222</v>
      </c>
      <c r="Q20" s="37">
        <f>IFERROR(IF(P20-D20&gt;0, P20-D20, "-" &amp; TEXT(ABS(P20-D20), "MM:SS.00")), "-")</f>
        <v/>
      </c>
      <c r="R20" s="76" t="n">
        <v>28</v>
      </c>
      <c r="S20" s="77" t="n"/>
      <c r="T20" s="77" t="n"/>
      <c r="U20" s="87" t="n"/>
      <c r="V20" s="97" t="n"/>
      <c r="W20" s="78" t="n"/>
      <c r="X20" s="103" t="inlineStr">
        <is>
          <t>S1-2</t>
        </is>
      </c>
      <c r="Y20" s="103" t="inlineStr">
        <is>
          <t>S3-3</t>
        </is>
      </c>
      <c r="Z20" s="100" t="n"/>
      <c r="AA20" s="103" t="inlineStr">
        <is>
          <t>S1-1</t>
        </is>
      </c>
      <c r="AB20" s="103" t="n"/>
      <c r="AC20" s="79" t="inlineStr">
        <is>
          <t>S3-3</t>
        </is>
      </c>
      <c r="AD20" s="79" t="n"/>
      <c r="AE20" s="79" t="inlineStr">
        <is>
          <t>S2-1</t>
        </is>
      </c>
      <c r="AF20" s="79" t="inlineStr">
        <is>
          <t>S3-3</t>
        </is>
      </c>
      <c r="AG20" s="79" t="inlineStr">
        <is>
          <t>S3-2</t>
        </is>
      </c>
      <c r="AH20" s="79" t="inlineStr">
        <is>
          <t>S2-1</t>
        </is>
      </c>
      <c r="AI20" s="79" t="inlineStr">
        <is>
          <t>S3-2</t>
        </is>
      </c>
      <c r="AJ20" s="79" t="n"/>
      <c r="AK20" s="79" t="n"/>
      <c r="AL20" s="79" t="n"/>
      <c r="AM20" s="79" t="n"/>
      <c r="AN20" s="79" t="n"/>
      <c r="AO20" s="79" t="inlineStr">
        <is>
          <t>L2-1</t>
        </is>
      </c>
      <c r="AP20" s="79" t="inlineStr">
        <is>
          <t>L3-1</t>
        </is>
      </c>
      <c r="AQ20" s="79" t="n"/>
    </row>
    <row r="21">
      <c r="A21" s="16" t="n"/>
      <c r="B21" s="13" t="inlineStr">
        <is>
          <t>L</t>
        </is>
      </c>
      <c r="C21" s="6" t="inlineStr">
        <is>
          <t>50 Free</t>
        </is>
      </c>
      <c r="D21" s="125" t="n">
        <v>0.0004100694444444445</v>
      </c>
      <c r="E21" s="44" t="n">
        <v>45696</v>
      </c>
      <c r="F21" s="48" t="n">
        <v>66</v>
      </c>
      <c r="G21" s="117" t="n">
        <v>0.0003809027777777777</v>
      </c>
      <c r="H21" s="21">
        <f>IFERROR(IF(G21-D21&gt;0, TEXT(ABS(G21-D21), "MM:SS.00"), "-" &amp; TEXT(ABS(G21-D21), "MM:SS.00")),"-")</f>
        <v/>
      </c>
      <c r="I21" s="89" t="n"/>
      <c r="J21" s="51" t="n">
        <v>5</v>
      </c>
      <c r="K21" s="120" t="n">
        <v>0.0003538194444444445</v>
      </c>
      <c r="L21" s="80">
        <f>IFERROR(IF(K21-D21&gt;0, K21-D21, "-" &amp; TEXT(ABS(K21-D21), "MM:SS.00")), "-")</f>
        <v/>
      </c>
      <c r="M21" s="89" t="n"/>
      <c r="N21" s="129" t="n">
        <v>0.0003715277777777778</v>
      </c>
      <c r="O21" s="111">
        <f>IFERROR(IF(N21-D21&gt;0, N21-D21, "-" &amp; TEXT(ABS(N21-D21), "MM:SS.00")), "-")</f>
        <v/>
      </c>
      <c r="P21" s="129" t="n">
        <v>0.0003538194444444445</v>
      </c>
      <c r="Q21" s="111">
        <f>IFERROR(IF(P21-D21&gt;0, P21-D21, "-" &amp; TEXT(ABS(P21-D21), "MM:SS.00")), "-")</f>
        <v/>
      </c>
      <c r="R21" s="54" t="n">
        <v>9</v>
      </c>
      <c r="S21" s="38" t="inlineStr">
        <is>
          <t>X (D1-S1)</t>
        </is>
      </c>
      <c r="T21" s="38" t="n"/>
      <c r="U21" s="86" t="n"/>
      <c r="V21" s="81" t="n">
        <v>3</v>
      </c>
      <c r="W21" s="81" t="n">
        <v>43</v>
      </c>
      <c r="X21" s="104" t="n"/>
      <c r="Y21" s="104" t="n"/>
      <c r="Z21" s="94" t="n"/>
      <c r="AA21" s="104" t="inlineStr">
        <is>
          <t>S2-3C</t>
        </is>
      </c>
      <c r="AB21" s="94" t="n"/>
      <c r="AC21" s="63" t="inlineStr">
        <is>
          <t>S1-3</t>
        </is>
      </c>
      <c r="AD21" s="63" t="n"/>
      <c r="AE21" s="63" t="n"/>
      <c r="AF21" s="63" t="inlineStr">
        <is>
          <t>S2-1</t>
        </is>
      </c>
      <c r="AG21" s="63" t="inlineStr">
        <is>
          <t>S4-3</t>
        </is>
      </c>
      <c r="AH21" s="63" t="n"/>
      <c r="AI21" s="63" t="n"/>
      <c r="AJ21" s="63" t="n"/>
      <c r="AK21" s="63" t="n"/>
      <c r="AL21" s="63" t="n"/>
      <c r="AM21" s="63" t="n"/>
      <c r="AN21" s="63" t="n"/>
      <c r="AO21" s="63" t="inlineStr">
        <is>
          <t>L1-3</t>
        </is>
      </c>
      <c r="AP21" s="63" t="inlineStr">
        <is>
          <t>L6-2</t>
        </is>
      </c>
      <c r="AQ21" s="63" t="n"/>
    </row>
    <row r="22">
      <c r="B22" s="14" t="inlineStr">
        <is>
          <t>L</t>
        </is>
      </c>
      <c r="C22" s="5" t="inlineStr">
        <is>
          <t>100 Free</t>
        </is>
      </c>
      <c r="D22" s="126" t="n">
        <v>0.0009133101851851852</v>
      </c>
      <c r="E22" s="45" t="n">
        <v>45830</v>
      </c>
      <c r="F22" s="49" t="n">
        <v>67</v>
      </c>
      <c r="G22" s="114" t="n">
        <v>0.0008460648148148148</v>
      </c>
      <c r="H22" s="23">
        <f>IFERROR(IF(G22-D22&gt;0, TEXT(ABS(G22-D22), "MM:SS.00"), "-" &amp; TEXT(ABS(G22-D22), "MM:SS.00")),"-")</f>
        <v/>
      </c>
      <c r="I22" s="90" t="n"/>
      <c r="J22" s="52" t="n">
        <v>4</v>
      </c>
      <c r="K22" s="35" t="n">
        <v>0.0007826388888888889</v>
      </c>
      <c r="L22" s="34">
        <f>IFERROR(IF(K22-D22&gt;0, K22-D22, "-" &amp; TEXT(ABS(K22-D22), "MM:SS.00")), "-")</f>
        <v/>
      </c>
      <c r="M22" s="90" t="n"/>
      <c r="N22" s="130" t="n">
        <v>0.0008217592592592593</v>
      </c>
      <c r="O22" s="84">
        <f>IFERROR(IF(N22-D22&gt;0, N22-D22, "-" &amp; TEXT(ABS(N22-D22), "MM:SS.00")), "-")</f>
        <v/>
      </c>
      <c r="P22" s="130" t="n">
        <v>0.0007826388888888889</v>
      </c>
      <c r="Q22" s="84">
        <f>IFERROR(IF(P22-D22&gt;0, P22-D22, "-" &amp; TEXT(ABS(P22-D22), "MM:SS.00")), "-")</f>
        <v/>
      </c>
      <c r="R22" s="55" t="n">
        <v>5</v>
      </c>
      <c r="S22" s="39" t="inlineStr">
        <is>
          <t>X (D2-S4)</t>
        </is>
      </c>
      <c r="T22" s="39" t="n"/>
      <c r="U22" s="40" t="n"/>
      <c r="V22" s="61" t="n"/>
      <c r="W22" s="61" t="n">
        <v>42</v>
      </c>
      <c r="X22" s="102" t="n"/>
      <c r="Y22" s="102" t="n"/>
      <c r="Z22" s="95" t="n"/>
      <c r="AA22" s="102" t="n"/>
      <c r="AB22" s="95" t="inlineStr">
        <is>
          <t>S5-3C</t>
        </is>
      </c>
      <c r="AC22" s="64" t="inlineStr">
        <is>
          <t>S3-1</t>
        </is>
      </c>
      <c r="AD22" s="64" t="n"/>
      <c r="AE22" s="64" t="inlineStr">
        <is>
          <t>S2-2</t>
        </is>
      </c>
      <c r="AF22" s="64" t="inlineStr">
        <is>
          <t>S1-3</t>
        </is>
      </c>
      <c r="AG22" s="64" t="inlineStr">
        <is>
          <t>S4-2</t>
        </is>
      </c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inlineStr">
        <is>
          <t>L2-3</t>
        </is>
      </c>
      <c r="AQ22" s="64" t="n"/>
    </row>
    <row r="23">
      <c r="B23" s="14" t="inlineStr">
        <is>
          <t>L</t>
        </is>
      </c>
      <c r="C23" s="5" t="inlineStr">
        <is>
          <t>200 Free</t>
        </is>
      </c>
      <c r="D23" s="126" t="n">
        <v>0.002068171296296296</v>
      </c>
      <c r="E23" s="45" t="n">
        <v>45452</v>
      </c>
      <c r="F23" s="49" t="n">
        <v>31</v>
      </c>
      <c r="G23" s="114" t="n">
        <v>0.001855324074074074</v>
      </c>
      <c r="H23" s="23">
        <f>IFERROR(IF(G23-D23&gt;0, TEXT(ABS(G23-D23), "MM:SS.00"), "-" &amp; TEXT(ABS(G23-D23), "MM:SS.00")),"-")</f>
        <v/>
      </c>
      <c r="I23" s="90" t="n"/>
      <c r="J23" s="52" t="n">
        <v>4</v>
      </c>
      <c r="K23" s="35" t="n">
        <v>0.001670023148148148</v>
      </c>
      <c r="L23" s="34">
        <f>IFERROR(IF(K23-D23&gt;0, K23-D23, "-" &amp; TEXT(ABS(K23-D23), "MM:SS.00")), "-")</f>
        <v/>
      </c>
      <c r="M23" s="90" t="n"/>
      <c r="N23" s="130" t="n">
        <v>0.001753472222222222</v>
      </c>
      <c r="O23" s="84">
        <f>IFERROR(IF(N23-D23&gt;0, N23-D23, "-" &amp; TEXT(ABS(N23-D23), "MM:SS.00")), "-")</f>
        <v/>
      </c>
      <c r="P23" s="130" t="n">
        <v>0.001670023148148148</v>
      </c>
      <c r="Q23" s="84">
        <f>IFERROR(IF(P23-D23&gt;0, P23-D23, "-" &amp; TEXT(ABS(P23-D23), "MM:SS.00")), "-")</f>
        <v/>
      </c>
      <c r="R23" s="55" t="n">
        <v>6</v>
      </c>
      <c r="S23" s="39" t="n"/>
      <c r="T23" s="39" t="n"/>
      <c r="U23" s="40" t="n"/>
      <c r="V23" s="61" t="n">
        <v>1</v>
      </c>
      <c r="W23" s="61" t="n">
        <v>41</v>
      </c>
      <c r="X23" s="102" t="n"/>
      <c r="Y23" s="102" t="n"/>
      <c r="Z23" s="95" t="n"/>
      <c r="AA23" s="102" t="n"/>
      <c r="AB23" s="95" t="n"/>
      <c r="AC23" s="64" t="inlineStr">
        <is>
          <t>S2-1</t>
        </is>
      </c>
      <c r="AD23" s="64" t="n"/>
      <c r="AE23" s="64" t="n"/>
      <c r="AF23" s="64" t="inlineStr">
        <is>
          <t>S4-2</t>
        </is>
      </c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inlineStr">
        <is>
          <t>L5-3</t>
        </is>
      </c>
      <c r="AQ23" s="64" t="n"/>
    </row>
    <row r="24">
      <c r="B24" s="14" t="inlineStr">
        <is>
          <t>L</t>
        </is>
      </c>
      <c r="C24" s="5" t="inlineStr">
        <is>
          <t>400 Free</t>
        </is>
      </c>
      <c r="D24" s="126" t="inlineStr">
        <is>
          <t>-</t>
        </is>
      </c>
      <c r="E24" s="45" t="n"/>
      <c r="F24" s="49" t="n"/>
      <c r="G24" s="114" t="n">
        <v>0.003935185185185185</v>
      </c>
      <c r="H24" s="23">
        <f>IFERROR(IF(G24-D24&gt;0, TEXT(ABS(G24-D24), "MM:SS.00"), "-" &amp; TEXT(ABS(G24-D24), "MM:SS.00")),"-")</f>
        <v/>
      </c>
      <c r="I24" s="90">
        <f>IF(D24&lt;=G24,"X",IF(D7&lt;=G7,"X",""))</f>
        <v/>
      </c>
      <c r="J24" s="52" t="n"/>
      <c r="K24" s="35" t="n">
        <v>0.003540509259259259</v>
      </c>
      <c r="L24" s="34">
        <f>IFERROR(IF(K24-D24&gt;0, K24-D24, "-" &amp; TEXT(ABS(K24-D24), "MM:SS.00")), "-")</f>
        <v/>
      </c>
      <c r="M24" s="90" t="n"/>
      <c r="N24" s="130" t="n">
        <v>0.003717592592592593</v>
      </c>
      <c r="O24" s="84">
        <f>IFERROR(IF(N24-D24&gt;0, N24-D24, "-" &amp; TEXT(ABS(N24-D24), "MM:SS.00")), "-")</f>
        <v/>
      </c>
      <c r="P24" s="130" t="n">
        <v>0.003540509259259259</v>
      </c>
      <c r="Q24" s="84">
        <f>IFERROR(IF(P24-D24&gt;0, P24-D24, "-" &amp; TEXT(ABS(P24-D24), "MM:SS.00")), "-")</f>
        <v/>
      </c>
      <c r="R24" s="55" t="inlineStr">
        <is>
          <t>-</t>
        </is>
      </c>
      <c r="S24" s="39" t="n"/>
      <c r="T24" s="39" t="n"/>
      <c r="U24" s="40" t="n"/>
      <c r="V24" s="61" t="n"/>
      <c r="W24" s="61" t="n"/>
      <c r="X24" s="102" t="n"/>
      <c r="Y24" s="102" t="n"/>
      <c r="Z24" s="95" t="n"/>
      <c r="AA24" s="102" t="n"/>
      <c r="AB24" s="95" t="n"/>
      <c r="AC24" s="64" t="inlineStr">
        <is>
          <t>S4-1</t>
        </is>
      </c>
      <c r="AD24" s="64" t="n"/>
      <c r="AE24" s="64" t="n"/>
      <c r="AF24" s="64" t="inlineStr">
        <is>
          <t>S1-1</t>
        </is>
      </c>
      <c r="AG24" s="64" t="n"/>
      <c r="AH24" s="64" t="n"/>
      <c r="AI24" s="64" t="n"/>
      <c r="AJ24" s="64" t="n"/>
      <c r="AK24" s="64" t="n"/>
      <c r="AL24" s="64" t="n"/>
      <c r="AM24" s="64" t="n"/>
      <c r="AN24" s="64" t="n"/>
      <c r="AO24" s="64" t="n"/>
      <c r="AP24" s="64" t="n"/>
      <c r="AQ24" s="64" t="n"/>
    </row>
    <row r="25">
      <c r="B25" s="14" t="inlineStr">
        <is>
          <t>L</t>
        </is>
      </c>
      <c r="C25" s="5" t="inlineStr">
        <is>
          <t>800 Free</t>
        </is>
      </c>
      <c r="D25" s="126" t="inlineStr">
        <is>
          <t>-</t>
        </is>
      </c>
      <c r="E25" s="45" t="n"/>
      <c r="F25" s="49" t="n">
        <v>97</v>
      </c>
      <c r="G25" s="114" t="n">
        <v>0.008711805555555556</v>
      </c>
      <c r="H25" s="23" t="inlineStr">
        <is>
          <t>-</t>
        </is>
      </c>
      <c r="I25" s="90">
        <f>IF(D25&lt;=G25,"X",IF(D8&lt;=G8,"X",""))</f>
        <v/>
      </c>
      <c r="J25" s="52" t="n">
        <v>10</v>
      </c>
      <c r="K25" s="35" t="n">
        <v>0.007142824074074074</v>
      </c>
      <c r="L25" s="34" t="inlineStr">
        <is>
          <t>-</t>
        </is>
      </c>
      <c r="M25" s="90" t="n"/>
      <c r="N25" s="130" t="n">
        <v>0.0075</v>
      </c>
      <c r="O25" s="84" t="inlineStr">
        <is>
          <t>-</t>
        </is>
      </c>
      <c r="P25" s="130" t="n">
        <v>0.007142824074074074</v>
      </c>
      <c r="Q25" s="84">
        <f>IFERROR(IF(P25-D25&gt;0, P25-D25, "-" &amp; TEXT(ABS(P25-D25), "MM:SS.00")), "-")</f>
        <v/>
      </c>
      <c r="R25" s="55" t="n"/>
      <c r="S25" s="39" t="n"/>
      <c r="T25" s="39" t="n"/>
      <c r="U25" s="40" t="n"/>
      <c r="V25" s="61" t="n"/>
      <c r="W25" s="61" t="n"/>
      <c r="X25" s="102" t="n"/>
      <c r="Y25" s="102" t="inlineStr">
        <is>
          <t>S1-1</t>
        </is>
      </c>
      <c r="Z25" s="95" t="n"/>
      <c r="AA25" s="102" t="inlineStr">
        <is>
          <t>S3-4C</t>
        </is>
      </c>
      <c r="AB25" s="95" t="n"/>
      <c r="AC25" s="64" t="inlineStr">
        <is>
          <t>S4-1</t>
        </is>
      </c>
      <c r="AD25" s="64" t="n"/>
      <c r="AE25" s="64" t="n"/>
      <c r="AF25" s="64" t="inlineStr">
        <is>
          <t>S1-1</t>
        </is>
      </c>
      <c r="AG25" s="64" t="n"/>
      <c r="AH25" s="64" t="n"/>
      <c r="AI25" s="64" t="n"/>
      <c r="AJ25" s="64" t="n"/>
      <c r="AK25" s="64" t="n"/>
      <c r="AL25" s="64" t="inlineStr">
        <is>
          <t>L2-1</t>
        </is>
      </c>
      <c r="AM25" s="64" t="n"/>
      <c r="AN25" s="64" t="n"/>
      <c r="AO25" s="64" t="n"/>
      <c r="AP25" s="64" t="inlineStr">
        <is>
          <t>L1-1</t>
        </is>
      </c>
      <c r="AQ25" s="64" t="n"/>
    </row>
    <row r="26">
      <c r="B26" s="14" t="inlineStr">
        <is>
          <t>L</t>
        </is>
      </c>
      <c r="C26" s="5" t="inlineStr">
        <is>
          <t>1500 Free</t>
        </is>
      </c>
      <c r="D26" s="126" t="inlineStr">
        <is>
          <t>-</t>
        </is>
      </c>
      <c r="E26" s="45" t="n"/>
      <c r="F26" s="49" t="n">
        <v>97</v>
      </c>
      <c r="G26" s="114" t="n"/>
      <c r="H26" s="23" t="inlineStr">
        <is>
          <t>-</t>
        </is>
      </c>
      <c r="I26" s="90" t="n"/>
      <c r="J26" s="52" t="n">
        <v>10</v>
      </c>
      <c r="K26" s="35" t="n">
        <v>0.01388888888888889</v>
      </c>
      <c r="L26" s="34" t="inlineStr">
        <is>
          <t>-</t>
        </is>
      </c>
      <c r="M26" s="90" t="n"/>
      <c r="N26" s="130" t="n">
        <v>0.01458333333333333</v>
      </c>
      <c r="O26" s="84" t="inlineStr">
        <is>
          <t>-</t>
        </is>
      </c>
      <c r="P26" s="130" t="n">
        <v>0.01388888888888889</v>
      </c>
      <c r="Q26" s="84">
        <f>IFERROR(IF(P26-D26&gt;0, P26-D26, "-" &amp; TEXT(ABS(P26-D26), "MM:SS.00")), "-")</f>
        <v/>
      </c>
      <c r="R26" s="55" t="n"/>
      <c r="S26" s="39" t="n"/>
      <c r="T26" s="39" t="n"/>
      <c r="U26" s="40" t="n"/>
      <c r="V26" s="61" t="n"/>
      <c r="W26" s="61" t="n"/>
      <c r="X26" s="102" t="n"/>
      <c r="Y26" s="102" t="inlineStr">
        <is>
          <t>S1-1</t>
        </is>
      </c>
      <c r="Z26" s="95" t="n"/>
      <c r="AA26" s="102" t="inlineStr">
        <is>
          <t>S3-4C</t>
        </is>
      </c>
      <c r="AB26" s="95" t="n"/>
      <c r="AC26" s="64" t="inlineStr">
        <is>
          <t>S4-1</t>
        </is>
      </c>
      <c r="AD26" s="64" t="n"/>
      <c r="AE26" s="64" t="n"/>
      <c r="AF26" s="64" t="inlineStr">
        <is>
          <t>S1-1</t>
        </is>
      </c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</row>
    <row r="27">
      <c r="B27" s="14" t="inlineStr">
        <is>
          <t>L</t>
        </is>
      </c>
      <c r="C27" s="5" t="inlineStr">
        <is>
          <t>50 Back</t>
        </is>
      </c>
      <c r="D27" s="126" t="n">
        <v>0.0004461805555555555</v>
      </c>
      <c r="E27" s="45" t="n">
        <v>45830</v>
      </c>
      <c r="F27" s="49" t="n">
        <v>45</v>
      </c>
      <c r="G27" s="114" t="n">
        <v>0.0004482638888888888</v>
      </c>
      <c r="H27" s="23">
        <f>IFERROR(IF(G27-D27&gt;0, TEXT(ABS(G27-D27), "MM:SS.00"), "-" &amp; TEXT(ABS(G27-D27), "MM:SS.00")),"-")</f>
        <v/>
      </c>
      <c r="I27" s="90">
        <f>IF(D27&lt;=G27,"X",IF(D10&lt;=G10,"X",""))</f>
        <v/>
      </c>
      <c r="J27" s="52" t="n">
        <v>5</v>
      </c>
      <c r="K27" s="35" t="n">
        <v>0.0004144675925925926</v>
      </c>
      <c r="L27" s="34">
        <f>IFERROR(IF(K27-D27&gt;0, K27-D27, "-" &amp; TEXT(ABS(K27-D27), "MM:SS.00")), "-")</f>
        <v/>
      </c>
      <c r="M27" s="90" t="n"/>
      <c r="N27" s="130" t="n">
        <v>0.0004351851851851852</v>
      </c>
      <c r="O27" s="84">
        <f>IFERROR(IF(N27-D27&gt;0, N27-D27, "-" &amp; TEXT(ABS(N27-D27), "MM:SS.00")), "-")</f>
        <v/>
      </c>
      <c r="P27" s="130" t="n">
        <v>0.0004144675925925926</v>
      </c>
      <c r="Q27" s="84">
        <f>IFERROR(IF(P27-D27&gt;0, P27-D27, "-" &amp; TEXT(ABS(P27-D27), "MM:SS.00")), "-")</f>
        <v/>
      </c>
      <c r="R27" s="55" t="n">
        <v>5</v>
      </c>
      <c r="S27" s="39" t="inlineStr">
        <is>
          <t>X (D2-S5)</t>
        </is>
      </c>
      <c r="T27" s="39" t="n"/>
      <c r="U27" s="40" t="n"/>
      <c r="V27" s="61" t="n"/>
      <c r="W27" s="61" t="n"/>
      <c r="X27" s="102" t="n"/>
      <c r="Y27" s="102" t="n"/>
      <c r="Z27" s="95" t="n"/>
      <c r="AA27" s="102" t="inlineStr">
        <is>
          <t>S1-3</t>
        </is>
      </c>
      <c r="AB27" s="95" t="n"/>
      <c r="AC27" s="64" t="inlineStr">
        <is>
          <t>S2-2</t>
        </is>
      </c>
      <c r="AD27" s="64" t="n"/>
      <c r="AE27" s="64" t="inlineStr">
        <is>
          <t>S2-3</t>
        </is>
      </c>
      <c r="AF27" s="64" t="inlineStr">
        <is>
          <t>S4-1</t>
        </is>
      </c>
      <c r="AG27" s="64" t="inlineStr">
        <is>
          <t>S4-1</t>
        </is>
      </c>
      <c r="AH27" s="64" t="n"/>
      <c r="AI27" s="64" t="n"/>
      <c r="AJ27" s="64" t="n"/>
      <c r="AK27" s="64" t="n"/>
      <c r="AL27" s="64" t="inlineStr">
        <is>
          <t>L1-1</t>
        </is>
      </c>
      <c r="AM27" s="64" t="n"/>
      <c r="AN27" s="64" t="n"/>
      <c r="AO27" s="64" t="inlineStr">
        <is>
          <t>L2-2</t>
        </is>
      </c>
      <c r="AP27" s="64" t="inlineStr">
        <is>
          <t>L2-2</t>
        </is>
      </c>
      <c r="AQ27" s="64" t="n"/>
    </row>
    <row r="28">
      <c r="B28" s="14" t="inlineStr">
        <is>
          <t>L</t>
        </is>
      </c>
      <c r="C28" s="5" t="inlineStr">
        <is>
          <t>100 Back</t>
        </is>
      </c>
      <c r="D28" s="126" t="n">
        <v>0.0009821759259259258</v>
      </c>
      <c r="E28" s="45" t="n">
        <v>45703</v>
      </c>
      <c r="F28" s="49" t="n">
        <v>46</v>
      </c>
      <c r="G28" s="114" t="n">
        <v>0.000982638888888889</v>
      </c>
      <c r="H28" s="23">
        <f>IFERROR(IF(G28-D28&gt;0, TEXT(ABS(G28-D28), "MM:SS.00"), "-" &amp; TEXT(ABS(G28-D28), "MM:SS.00")),"-")</f>
        <v/>
      </c>
      <c r="I28" s="90">
        <f>IF(D28&lt;=G28,"X",IF(D11&lt;=G11,"X",""))</f>
        <v/>
      </c>
      <c r="J28" s="52" t="n">
        <v>4</v>
      </c>
      <c r="K28" s="35" t="n">
        <v>0.0008928240740740741</v>
      </c>
      <c r="L28" s="34">
        <f>IFERROR(IF(K28-D28&gt;0, K28-D28, "-" &amp; TEXT(ABS(K28-D28), "MM:SS.00")), "-")</f>
        <v/>
      </c>
      <c r="M28" s="90" t="n"/>
      <c r="N28" s="130" t="n">
        <v>0.0009375</v>
      </c>
      <c r="O28" s="84">
        <f>IFERROR(IF(N28-D28&gt;0, N28-D28, "-" &amp; TEXT(ABS(N28-D28), "MM:SS.00")), "-")</f>
        <v/>
      </c>
      <c r="P28" s="130" t="n">
        <v>0.0008928240740740741</v>
      </c>
      <c r="Q28" s="84">
        <f>IFERROR(IF(P28-D28&gt;0, P28-D28, "-" &amp; TEXT(ABS(P28-D28), "MM:SS.00")), "-")</f>
        <v/>
      </c>
      <c r="R28" s="55" t="n">
        <v>6</v>
      </c>
      <c r="S28" s="39" t="inlineStr">
        <is>
          <t>X (D1-S3)</t>
        </is>
      </c>
      <c r="T28" s="39" t="n"/>
      <c r="U28" s="40" t="n"/>
      <c r="V28" s="61" t="n"/>
      <c r="W28" s="61" t="n"/>
      <c r="X28" s="102" t="n"/>
      <c r="Y28" s="102" t="n"/>
      <c r="Z28" s="95" t="n"/>
      <c r="AA28" s="102" t="n"/>
      <c r="AB28" s="95" t="inlineStr">
        <is>
          <t>S6-2</t>
        </is>
      </c>
      <c r="AC28" s="64" t="inlineStr">
        <is>
          <t>S4-2</t>
        </is>
      </c>
      <c r="AD28" s="64" t="n"/>
      <c r="AE28" s="64" t="n"/>
      <c r="AF28" s="64" t="inlineStr">
        <is>
          <t>S2-2</t>
        </is>
      </c>
      <c r="AG28" s="64" t="inlineStr">
        <is>
          <t>S3-1</t>
        </is>
      </c>
      <c r="AH28" s="64" t="n"/>
      <c r="AI28" s="64" t="n"/>
      <c r="AJ28" s="64" t="n"/>
      <c r="AK28" s="64" t="n"/>
      <c r="AL28" s="64" t="n"/>
      <c r="AM28" s="64" t="inlineStr">
        <is>
          <t>L6-1</t>
        </is>
      </c>
      <c r="AN28" s="64" t="n"/>
      <c r="AO28" s="64" t="inlineStr">
        <is>
          <t>L1-2</t>
        </is>
      </c>
      <c r="AP28" s="64" t="inlineStr">
        <is>
          <t>L5-1</t>
        </is>
      </c>
      <c r="AQ28" s="64" t="n"/>
    </row>
    <row r="29">
      <c r="B29" s="14" t="inlineStr">
        <is>
          <t>L</t>
        </is>
      </c>
      <c r="C29" s="5" t="inlineStr">
        <is>
          <t>200 Back</t>
        </is>
      </c>
      <c r="D29" s="126" t="n">
        <v>0.002119791666666667</v>
      </c>
      <c r="E29" s="45" t="n">
        <v>45703</v>
      </c>
      <c r="F29" s="49" t="n"/>
      <c r="G29" s="114" t="n">
        <v>0.002116898148148148</v>
      </c>
      <c r="H29" s="23">
        <f>IFERROR(IF(G29-D29&gt;0, TEXT(ABS(G29-D29), "MM:SS.00"), "-" &amp; TEXT(ABS(G29-D29), "MM:SS.00")),"-")</f>
        <v/>
      </c>
      <c r="I29" s="90">
        <f>IF(D29&lt;=G29,"X",IF(D12&lt;=G12,"X",""))</f>
        <v/>
      </c>
      <c r="J29" s="52" t="inlineStr">
        <is>
          <t>-</t>
        </is>
      </c>
      <c r="K29" s="35" t="n">
        <v>0.001889351851851852</v>
      </c>
      <c r="L29" s="34">
        <f>IFERROR(IF(K29-D29&gt;0, K29-D29, "-" &amp; TEXT(ABS(K29-D29), "MM:SS.00")), "-")</f>
        <v/>
      </c>
      <c r="M29" s="90" t="n"/>
      <c r="N29" s="130" t="n">
        <v>0.001983796296296296</v>
      </c>
      <c r="O29" s="84">
        <f>IFERROR(IF(N29-D29&gt;0, N29-D29, "-" &amp; TEXT(ABS(N29-D29), "MM:SS.00")), "-")</f>
        <v/>
      </c>
      <c r="P29" s="130" t="n">
        <v>0.001889351851851852</v>
      </c>
      <c r="Q29" s="84">
        <f>IFERROR(IF(P29-D29&gt;0, P29-D29, "-" &amp; TEXT(ABS(P29-D29), "MM:SS.00")), "-")</f>
        <v/>
      </c>
      <c r="R29" s="55" t="inlineStr">
        <is>
          <t>-</t>
        </is>
      </c>
      <c r="S29" s="40" t="inlineStr">
        <is>
          <t>?</t>
        </is>
      </c>
      <c r="T29" s="40" t="n"/>
      <c r="U29" s="40" t="n"/>
      <c r="V29" s="61" t="n"/>
      <c r="W29" s="61" t="n"/>
      <c r="X29" s="102" t="n"/>
      <c r="Y29" s="102" t="n"/>
      <c r="Z29" s="95" t="n"/>
      <c r="AA29" s="102" t="n"/>
      <c r="AB29" s="95" t="inlineStr">
        <is>
          <t>S7-2</t>
        </is>
      </c>
      <c r="AC29" s="64" t="inlineStr">
        <is>
          <t>S1-1</t>
        </is>
      </c>
      <c r="AD29" s="64" t="n"/>
      <c r="AE29" s="64" t="n"/>
      <c r="AF29" s="64" t="inlineStr">
        <is>
          <t>S3-2</t>
        </is>
      </c>
      <c r="AG29" s="64" t="inlineStr">
        <is>
          <t>S1-2</t>
        </is>
      </c>
      <c r="AH29" s="64" t="n"/>
      <c r="AI29" s="64" t="n"/>
      <c r="AJ29" s="64" t="n"/>
      <c r="AK29" s="64" t="n"/>
      <c r="AL29" s="64" t="n"/>
      <c r="AM29" s="64" t="inlineStr">
        <is>
          <t>L7-1</t>
        </is>
      </c>
      <c r="AN29" s="64" t="n"/>
      <c r="AO29" s="64" t="n"/>
      <c r="AP29" s="64" t="inlineStr">
        <is>
          <t>L6-1</t>
        </is>
      </c>
      <c r="AQ29" s="64" t="n"/>
    </row>
    <row r="30">
      <c r="B30" s="14" t="inlineStr">
        <is>
          <t>L</t>
        </is>
      </c>
      <c r="C30" s="5" t="inlineStr">
        <is>
          <t>50 Breast</t>
        </is>
      </c>
      <c r="D30" s="126" t="n">
        <v>0.0006391203703703704</v>
      </c>
      <c r="E30" s="45" t="n">
        <v>45452</v>
      </c>
      <c r="F30" s="49" t="inlineStr">
        <is>
          <t>100+</t>
        </is>
      </c>
      <c r="G30" s="114" t="n">
        <v>0.0005018518518518519</v>
      </c>
      <c r="H30" s="23">
        <f>IFERROR(IF(G30-D30&gt;0, TEXT(ABS(G30-D30), "MM:SS.00"), "-" &amp; TEXT(ABS(G30-D30), "MM:SS.00")),"-")</f>
        <v/>
      </c>
      <c r="I30" s="90">
        <f>IF(D30&lt;=G30,"X",IF(D13&lt;=G13,"X",""))</f>
        <v/>
      </c>
      <c r="J30" s="52" t="n">
        <v>15</v>
      </c>
      <c r="K30" s="35" t="n">
        <v>0.0004673611111111112</v>
      </c>
      <c r="L30" s="34">
        <f>IFERROR(IF(K30-D30&gt;0, K30-D30, "-" &amp; TEXT(ABS(K30-D30), "MM:SS.00")), "-")</f>
        <v/>
      </c>
      <c r="M30" s="90" t="n"/>
      <c r="N30" s="130" t="n">
        <v>0.0004907407407407407</v>
      </c>
      <c r="O30" s="84">
        <f>IFERROR(IF(N30-D30&gt;0, N30-D30, "-" &amp; TEXT(ABS(N30-D30), "MM:SS.00")), "-")</f>
        <v/>
      </c>
      <c r="P30" s="130" t="n">
        <v>0.0004673611111111112</v>
      </c>
      <c r="Q30" s="84">
        <f>IFERROR(IF(P30-D30&gt;0, P30-D30, "-" &amp; TEXT(ABS(P30-D30), "MM:SS.00")), "-")</f>
        <v/>
      </c>
      <c r="R30" s="55" t="n">
        <v>26</v>
      </c>
      <c r="S30" s="40" t="inlineStr">
        <is>
          <t>?</t>
        </is>
      </c>
      <c r="T30" s="40" t="n"/>
      <c r="U30" s="40" t="n"/>
      <c r="V30" s="61" t="n"/>
      <c r="W30" s="61" t="n">
        <v>31</v>
      </c>
      <c r="X30" s="102" t="n"/>
      <c r="Y30" s="102" t="n"/>
      <c r="Z30" s="95" t="n"/>
      <c r="AA30" s="102" t="n"/>
      <c r="AB30" s="95" t="n"/>
      <c r="AC30" s="64" t="n"/>
      <c r="AD30" s="64" t="n"/>
      <c r="AE30" s="64" t="n"/>
      <c r="AF30" s="64" t="inlineStr">
        <is>
          <t>S1-2</t>
        </is>
      </c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inlineStr">
        <is>
          <t>L3-2</t>
        </is>
      </c>
      <c r="AQ30" s="64" t="n"/>
    </row>
    <row r="31">
      <c r="B31" s="14" t="inlineStr">
        <is>
          <t>L</t>
        </is>
      </c>
      <c r="C31" s="5" t="inlineStr">
        <is>
          <t>100 Breast</t>
        </is>
      </c>
      <c r="D31" s="126" t="inlineStr">
        <is>
          <t>-</t>
        </is>
      </c>
      <c r="E31" s="45" t="n"/>
      <c r="F31" s="49" t="n"/>
      <c r="G31" s="114" t="n">
        <v>0.00112037037037037</v>
      </c>
      <c r="H31" s="23">
        <f>IFERROR(IF(G31-D31&gt;0, TEXT(ABS(G31-D31), "MM:SS.00"), "-" &amp; TEXT(ABS(G31-D31), "MM:SS.00")),"-")</f>
        <v/>
      </c>
      <c r="I31" s="90">
        <f>IF(D31&lt;=G31,"X",IF(D14&lt;=G14,"X",""))</f>
        <v/>
      </c>
      <c r="J31" s="52" t="inlineStr">
        <is>
          <t>-</t>
        </is>
      </c>
      <c r="K31" s="35" t="n">
        <v>0.001039583333333333</v>
      </c>
      <c r="L31" s="34">
        <f>IFERROR(IF(K31-D31&gt;0, K31-D31, "-" &amp; TEXT(ABS(K31-D31), "MM:SS.00")), "-")</f>
        <v/>
      </c>
      <c r="M31" s="90" t="n"/>
      <c r="N31" s="130" t="n">
        <v>0.001091435185185185</v>
      </c>
      <c r="O31" s="84">
        <f>IFERROR(IF(N31-D31&gt;0, N31-D31, "-" &amp; TEXT(ABS(N31-D31), "MM:SS.00")), "-")</f>
        <v/>
      </c>
      <c r="P31" s="130" t="n">
        <v>0.001039467592592593</v>
      </c>
      <c r="Q31" s="84">
        <f>IFERROR(IF(P31-D31&gt;0, P31-D31, "-" &amp; TEXT(ABS(P31-D31), "MM:SS.00")), "-")</f>
        <v/>
      </c>
      <c r="R31" s="55" t="inlineStr">
        <is>
          <t>-</t>
        </is>
      </c>
      <c r="S31" s="39" t="n"/>
      <c r="T31" s="39" t="n"/>
      <c r="U31" s="40" t="n"/>
      <c r="V31" s="61" t="n"/>
      <c r="W31" s="61" t="n"/>
      <c r="X31" s="102" t="n"/>
      <c r="Y31" s="102" t="n"/>
      <c r="Z31" s="95" t="n"/>
      <c r="AA31" s="102" t="n"/>
      <c r="AB31" s="95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inlineStr">
        <is>
          <t>L2-1</t>
        </is>
      </c>
      <c r="AQ31" s="64" t="n"/>
    </row>
    <row r="32">
      <c r="B32" s="14" t="inlineStr">
        <is>
          <t>L</t>
        </is>
      </c>
      <c r="C32" s="5" t="inlineStr">
        <is>
          <t>200 Breast</t>
        </is>
      </c>
      <c r="D32" s="126" t="inlineStr">
        <is>
          <t>-</t>
        </is>
      </c>
      <c r="E32" s="118" t="n"/>
      <c r="F32" s="119" t="n">
        <v>97</v>
      </c>
      <c r="G32" s="114" t="n"/>
      <c r="H32" s="23" t="inlineStr">
        <is>
          <t>-</t>
        </is>
      </c>
      <c r="I32" s="90" t="n"/>
      <c r="J32" s="52" t="n">
        <v>10</v>
      </c>
      <c r="K32" s="35" t="n">
        <v>0.002220023148148148</v>
      </c>
      <c r="L32" s="34" t="inlineStr">
        <is>
          <t>-</t>
        </is>
      </c>
      <c r="M32" s="90" t="n"/>
      <c r="N32" s="130" t="n">
        <v>0.002331018518518519</v>
      </c>
      <c r="O32" s="84" t="inlineStr">
        <is>
          <t>-</t>
        </is>
      </c>
      <c r="P32" s="130" t="n">
        <v>0.002220023148148148</v>
      </c>
      <c r="Q32" s="84">
        <f>IFERROR(IF(P32-D32&gt;0, P32-D32, "-" &amp; TEXT(ABS(P32-D32), "MM:SS.00")), "-")</f>
        <v/>
      </c>
      <c r="R32" s="55" t="n"/>
      <c r="S32" s="39" t="n"/>
      <c r="T32" s="39" t="n"/>
      <c r="U32" s="40" t="n"/>
      <c r="V32" s="61" t="n"/>
      <c r="W32" s="61" t="n"/>
      <c r="X32" s="102" t="n"/>
      <c r="Y32" s="102" t="inlineStr">
        <is>
          <t>S1-1</t>
        </is>
      </c>
      <c r="Z32" s="95" t="n"/>
      <c r="AA32" s="102" t="inlineStr">
        <is>
          <t>S3-4C</t>
        </is>
      </c>
      <c r="AB32" s="95" t="n"/>
      <c r="AC32" s="64" t="inlineStr">
        <is>
          <t>S4-1</t>
        </is>
      </c>
      <c r="AD32" s="64" t="n"/>
      <c r="AE32" s="64" t="n"/>
      <c r="AF32" s="64" t="inlineStr">
        <is>
          <t>S1-1</t>
        </is>
      </c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</row>
    <row r="33" ht="17" customHeight="1" s="224" thickBot="1">
      <c r="B33" s="14" t="inlineStr">
        <is>
          <t>L</t>
        </is>
      </c>
      <c r="C33" s="5" t="inlineStr">
        <is>
          <t>50 Fly</t>
        </is>
      </c>
      <c r="D33" s="126" t="n">
        <v>0.0004377314814814815</v>
      </c>
      <c r="E33" s="110" t="n">
        <v>45696</v>
      </c>
      <c r="F33" s="59" t="n">
        <v>64</v>
      </c>
      <c r="G33" s="114" t="n">
        <v>0.0004241898148148148</v>
      </c>
      <c r="H33" s="23">
        <f>IFERROR(IF(G33-D33&gt;0, TEXT(ABS(G33-D33), "MM:SS.00"), "-" &amp; TEXT(ABS(G33-D33), "MM:SS.00")),"-")</f>
        <v/>
      </c>
      <c r="I33" s="90" t="inlineStr">
        <is>
          <t>X</t>
        </is>
      </c>
      <c r="J33" s="52" t="n">
        <v>7</v>
      </c>
      <c r="K33" s="35" t="n">
        <v>0.0003946759259259259</v>
      </c>
      <c r="L33" s="34">
        <f>IFERROR(IF(K33-D33&gt;0, K33-D33, "-" &amp; TEXT(ABS(K33-D33), "MM:SS.00")), "-")</f>
        <v/>
      </c>
      <c r="M33" s="90" t="n"/>
      <c r="N33" s="130" t="n">
        <v>0.0004143518518518518</v>
      </c>
      <c r="O33" s="84">
        <f>IFERROR(IF(N33-D33&gt;0, N33-D33, "-" &amp; TEXT(ABS(N33-D33), "MM:SS.00")), "-")</f>
        <v/>
      </c>
      <c r="P33" s="130" t="n">
        <v>0.0003946759259259259</v>
      </c>
      <c r="Q33" s="84">
        <f>IFERROR(IF(P33-D33&gt;0, P33-D33, "-" &amp; TEXT(ABS(P33-D33), "MM:SS.00")), "-")</f>
        <v/>
      </c>
      <c r="R33" s="55" t="n">
        <v>5</v>
      </c>
      <c r="S33" s="39" t="n"/>
      <c r="T33" s="39" t="n"/>
      <c r="U33" s="40" t="n"/>
      <c r="V33" s="61" t="n">
        <v>2</v>
      </c>
      <c r="W33" s="61" t="n"/>
      <c r="X33" s="102" t="n"/>
      <c r="Y33" s="102" t="n"/>
      <c r="Z33" s="95" t="n"/>
      <c r="AA33" s="102" t="inlineStr">
        <is>
          <t>S4-2</t>
        </is>
      </c>
      <c r="AB33" s="95" t="n"/>
      <c r="AC33" s="64" t="inlineStr">
        <is>
          <t>S3-2</t>
        </is>
      </c>
      <c r="AD33" s="64" t="n"/>
      <c r="AE33" s="64" t="n"/>
      <c r="AF33" s="64" t="inlineStr">
        <is>
          <t>S3-1</t>
        </is>
      </c>
      <c r="AG33" s="64" t="inlineStr">
        <is>
          <t>S1-1</t>
        </is>
      </c>
      <c r="AH33" s="64" t="n"/>
      <c r="AI33" s="64" t="n"/>
      <c r="AJ33" s="64" t="n"/>
      <c r="AK33" s="64" t="n"/>
      <c r="AL33" s="64" t="inlineStr">
        <is>
          <t>L4-1</t>
        </is>
      </c>
      <c r="AM33" s="64" t="n"/>
      <c r="AN33" s="64" t="n"/>
      <c r="AO33" s="64" t="inlineStr">
        <is>
          <t>L1-1</t>
        </is>
      </c>
      <c r="AP33" s="64" t="inlineStr">
        <is>
          <t>L5-2</t>
        </is>
      </c>
      <c r="AQ33" s="64" t="n"/>
    </row>
    <row r="34">
      <c r="B34" s="14" t="inlineStr">
        <is>
          <t>L</t>
        </is>
      </c>
      <c r="C34" s="5" t="inlineStr">
        <is>
          <t>100 Fly</t>
        </is>
      </c>
      <c r="D34" s="126" t="n">
        <v>0.0010125</v>
      </c>
      <c r="E34" s="45" t="n">
        <v>45830</v>
      </c>
      <c r="F34" s="49" t="n">
        <v>53</v>
      </c>
      <c r="G34" s="114" t="n">
        <v>0.001012731481481481</v>
      </c>
      <c r="H34" s="23">
        <f>IFERROR(IF(G34-D34&gt;0, TEXT(ABS(G34-D34), "MM:SS.00"), "-" &amp; TEXT(ABS(G34-D34), "MM:SS.00")),"-")</f>
        <v/>
      </c>
      <c r="I34" s="90">
        <f>IF(D34&lt;=G34,"X",IF(D17&lt;=G17,"X",""))</f>
        <v/>
      </c>
      <c r="J34" s="52" t="n">
        <v>4</v>
      </c>
      <c r="K34" s="35" t="n">
        <v>0.0009071759259259259</v>
      </c>
      <c r="L34" s="34">
        <f>IFERROR(IF(K34-D34&gt;0, K34-D34, "-" &amp; TEXT(ABS(K34-D34), "MM:SS.00")), "-")</f>
        <v/>
      </c>
      <c r="M34" s="90" t="n"/>
      <c r="N34" s="130" t="n">
        <v>0.0009525462962962963</v>
      </c>
      <c r="O34" s="84">
        <f>IFERROR(IF(N34-D34&gt;0, N34-D34, "-" &amp; TEXT(ABS(N34-D34), "MM:SS.00")), "-")</f>
        <v/>
      </c>
      <c r="P34" s="130" t="n">
        <v>0.0009071759259259259</v>
      </c>
      <c r="Q34" s="84">
        <f>IFERROR(IF(P34-D34&gt;0, P34-D34, "-" &amp; TEXT(ABS(P34-D34), "MM:SS.00")), "-")</f>
        <v/>
      </c>
      <c r="R34" s="55" t="n">
        <v>6</v>
      </c>
      <c r="S34" s="39" t="n"/>
      <c r="T34" s="39" t="n"/>
      <c r="U34" s="40" t="n"/>
      <c r="V34" s="61" t="n"/>
      <c r="W34" s="61" t="n"/>
      <c r="X34" s="102" t="n"/>
      <c r="Y34" s="102" t="n"/>
      <c r="Z34" s="95" t="n"/>
      <c r="AA34" s="102" t="n"/>
      <c r="AB34" s="95" t="inlineStr">
        <is>
          <t>S8-3</t>
        </is>
      </c>
      <c r="AC34" s="64" t="inlineStr">
        <is>
          <t>S1-2</t>
        </is>
      </c>
      <c r="AD34" s="64" t="n"/>
      <c r="AE34" s="64" t="inlineStr">
        <is>
          <t>S2-4</t>
        </is>
      </c>
      <c r="AF34" s="64" t="n"/>
      <c r="AG34" s="64" t="inlineStr">
        <is>
          <t>S1-3</t>
        </is>
      </c>
      <c r="AH34" s="64" t="n"/>
      <c r="AI34" s="64" t="n"/>
      <c r="AJ34" s="64" t="n"/>
      <c r="AK34" s="64" t="n"/>
      <c r="AL34" s="64" t="n"/>
      <c r="AM34" s="64" t="inlineStr">
        <is>
          <t>L8-1</t>
        </is>
      </c>
      <c r="AN34" s="64" t="n"/>
      <c r="AO34" s="64" t="inlineStr">
        <is>
          <t>L2-3</t>
        </is>
      </c>
      <c r="AP34" s="64" t="inlineStr">
        <is>
          <t>L3-3</t>
        </is>
      </c>
      <c r="AQ34" s="64" t="n"/>
    </row>
    <row r="35">
      <c r="B35" s="14" t="inlineStr">
        <is>
          <t>L</t>
        </is>
      </c>
      <c r="C35" s="5" t="inlineStr">
        <is>
          <t>200 Fly</t>
        </is>
      </c>
      <c r="D35" s="126" t="n">
        <v>0.002603009259259259</v>
      </c>
      <c r="E35" s="45" t="n"/>
      <c r="F35" s="49" t="n"/>
      <c r="G35" s="114" t="n"/>
      <c r="H35" s="23" t="n"/>
      <c r="I35" s="90" t="n"/>
      <c r="J35" s="52" t="n"/>
      <c r="K35" s="35" t="n">
        <v>0.002119675925925926</v>
      </c>
      <c r="L35" s="34" t="n"/>
      <c r="M35" s="90" t="n"/>
      <c r="N35" s="130" t="n">
        <v>0.002225694444444445</v>
      </c>
      <c r="O35" s="84" t="inlineStr">
        <is>
          <t>-</t>
        </is>
      </c>
      <c r="P35" s="130" t="n">
        <v>0.002119675925925926</v>
      </c>
      <c r="Q35" s="84">
        <f>IFERROR(IF(P35-D35&gt;0, P35-D35, "-" &amp; TEXT(ABS(P35-D35), "MM:SS.00")), "-")</f>
        <v/>
      </c>
      <c r="R35" s="55" t="n"/>
      <c r="S35" s="39" t="n"/>
      <c r="T35" s="39" t="n"/>
      <c r="U35" s="40" t="n"/>
      <c r="V35" s="61" t="n"/>
      <c r="W35" s="61" t="n"/>
      <c r="X35" s="102" t="n"/>
      <c r="Y35" s="102" t="n"/>
      <c r="Z35" s="95" t="n"/>
      <c r="AA35" s="102" t="n"/>
      <c r="AB35" s="95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</row>
    <row r="36">
      <c r="B36" s="14" t="inlineStr">
        <is>
          <t>L</t>
        </is>
      </c>
      <c r="C36" s="5" t="inlineStr">
        <is>
          <t>100 IM</t>
        </is>
      </c>
      <c r="D36" s="126" t="inlineStr">
        <is>
          <t>-</t>
        </is>
      </c>
      <c r="E36" s="45" t="n"/>
      <c r="F36" s="49" t="n"/>
      <c r="G36" s="24" t="inlineStr">
        <is>
          <t>-</t>
        </is>
      </c>
      <c r="H36" s="23">
        <f>IFERROR(IF(G36-D36&gt;0, TEXT(ABS(G36-D36), "MM:SS.00"), "-" &amp; TEXT(ABS(G36-D36), "MM:SS.00")),"-")</f>
        <v/>
      </c>
      <c r="I36" s="90" t="n"/>
      <c r="J36" s="52" t="inlineStr">
        <is>
          <t>-</t>
        </is>
      </c>
      <c r="K36" s="35" t="inlineStr">
        <is>
          <t>-</t>
        </is>
      </c>
      <c r="L36" s="34">
        <f>IFERROR(IF(K36-D36&gt;0, K36-D36, "-" &amp; TEXT(ABS(K36-D36), "MM:SS.00")), "-")</f>
        <v/>
      </c>
      <c r="M36" s="90" t="n"/>
      <c r="N36" s="130" t="inlineStr">
        <is>
          <t>-</t>
        </is>
      </c>
      <c r="O36" s="84">
        <f>IFERROR(IF(N36-D36&gt;0, N36-D36, "-" &amp; TEXT(ABS(N36-D36), "MM:SS.00")), "-")</f>
        <v/>
      </c>
      <c r="P36" s="130" t="inlineStr">
        <is>
          <t>-</t>
        </is>
      </c>
      <c r="Q36" s="84">
        <f>IFERROR(IF(P36-D36&gt;0, P36-D36, "-" &amp; TEXT(ABS(P36-D36), "MM:SS.00")), "-")</f>
        <v/>
      </c>
      <c r="R36" s="55" t="inlineStr">
        <is>
          <t>-</t>
        </is>
      </c>
      <c r="S36" s="39" t="n"/>
      <c r="T36" s="39" t="n"/>
      <c r="U36" s="40" t="n"/>
      <c r="V36" s="61" t="n"/>
      <c r="W36" s="61" t="n"/>
      <c r="X36" s="102" t="n"/>
      <c r="Y36" s="102" t="n"/>
      <c r="Z36" s="95" t="n"/>
      <c r="AA36" s="102" t="n"/>
      <c r="AB36" s="95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</row>
    <row r="37" ht="17" customHeight="1" s="224" thickBot="1">
      <c r="B37" s="15" t="inlineStr">
        <is>
          <t>L</t>
        </is>
      </c>
      <c r="C37" s="7" t="inlineStr">
        <is>
          <t>200 IM</t>
        </is>
      </c>
      <c r="D37" s="128" t="n">
        <v>0.002311111111111111</v>
      </c>
      <c r="E37" s="47" t="n">
        <v>45696</v>
      </c>
      <c r="F37" s="50" t="n"/>
      <c r="G37" s="25" t="n">
        <v>0.002095138888888889</v>
      </c>
      <c r="H37" s="26">
        <f>IFERROR(IF(G37-D37&gt;0, TEXT(ABS(G37-D37), "MM:SS.00"), "-" &amp; TEXT(ABS(G37-D37), "MM:SS.00")),"-")</f>
        <v/>
      </c>
      <c r="I37" s="92">
        <f>IF(D37&lt;=G37,"X",IF(D20&lt;=G20,"X",""))</f>
        <v/>
      </c>
      <c r="J37" s="53" t="inlineStr">
        <is>
          <t>-</t>
        </is>
      </c>
      <c r="K37" s="121" t="n">
        <v>0.001906944444444444</v>
      </c>
      <c r="L37" s="37">
        <f>IFERROR(IF(K37-D37&gt;0, K37-D37, "-" &amp; TEXT(ABS(K37-D37), "MM:SS.00")), "-")</f>
        <v/>
      </c>
      <c r="M37" s="92" t="n"/>
      <c r="N37" s="132" t="n">
        <v>0.001990740740740741</v>
      </c>
      <c r="O37" s="46">
        <f>IFERROR(IF(N37-D37&gt;0, N37-D37, "-" &amp; TEXT(ABS(N37-D37), "MM:SS.00")), "-")</f>
        <v/>
      </c>
      <c r="P37" s="132" t="n">
        <v>0.001906944444444444</v>
      </c>
      <c r="Q37" s="46">
        <f>IFERROR(IF(P37-D37&gt;0, P37-D37, "-" &amp; TEXT(ABS(P37-D37), "MM:SS.00")), "-")</f>
        <v/>
      </c>
      <c r="R37" s="56" t="inlineStr">
        <is>
          <t>-</t>
        </is>
      </c>
      <c r="S37" s="41" t="n"/>
      <c r="T37" s="41" t="n"/>
      <c r="U37" s="88" t="n"/>
      <c r="V37" s="62" t="n"/>
      <c r="W37" s="62" t="n">
        <v>32</v>
      </c>
      <c r="X37" s="105" t="n"/>
      <c r="Y37" s="105" t="n"/>
      <c r="Z37" s="96" t="n"/>
      <c r="AA37" s="105" t="inlineStr">
        <is>
          <t>S1-1</t>
        </is>
      </c>
      <c r="AB37" s="96" t="n"/>
      <c r="AC37" s="65" t="inlineStr">
        <is>
          <t>S3-3</t>
        </is>
      </c>
      <c r="AD37" s="65" t="n"/>
      <c r="AE37" s="65" t="inlineStr">
        <is>
          <t>S2-1</t>
        </is>
      </c>
      <c r="AF37" s="65" t="inlineStr">
        <is>
          <t>S3-3</t>
        </is>
      </c>
      <c r="AG37" s="112" t="inlineStr">
        <is>
          <t>S3-2</t>
        </is>
      </c>
      <c r="AH37" s="112" t="n"/>
      <c r="AI37" s="112" t="n"/>
      <c r="AJ37" s="112" t="n"/>
      <c r="AK37" s="112" t="n"/>
      <c r="AL37" s="112" t="n"/>
      <c r="AM37" s="112" t="n"/>
      <c r="AN37" s="112" t="n"/>
      <c r="AO37" s="112" t="inlineStr">
        <is>
          <t>L2-1</t>
        </is>
      </c>
      <c r="AP37" s="112" t="inlineStr">
        <is>
          <t>L3-1</t>
        </is>
      </c>
      <c r="AQ37" s="112" t="n"/>
    </row>
    <row r="44">
      <c r="F44" s="106" t="n"/>
      <c r="G44" s="107" t="n"/>
      <c r="J44" s="107" t="n"/>
    </row>
    <row r="45">
      <c r="F45" s="106" t="n"/>
    </row>
  </sheetData>
  <autoFilter ref="A3:AR37"/>
  <mergeCells count="4">
    <mergeCell ref="D2:F2"/>
    <mergeCell ref="K2:R2"/>
    <mergeCell ref="G2:J2"/>
    <mergeCell ref="S2:AQ2"/>
  </mergeCells>
  <conditionalFormatting sqref="I4:I37">
    <cfRule type="cellIs" priority="11" operator="equal" dxfId="1">
      <formula>"X"</formula>
    </cfRule>
  </conditionalFormatting>
  <conditionalFormatting sqref="B4:H32 B33:D33 B34:H37 F33:H33 J4:L18 J19:K19 J20:L37 N4:Q18 N19 N20:Q37 P19">
    <cfRule type="expression" priority="14" dxfId="0">
      <formula>MOD(ROW(),2)=0</formula>
    </cfRule>
  </conditionalFormatting>
  <conditionalFormatting sqref="M4:M37">
    <cfRule type="cellIs" priority="1" operator="equal" dxfId="1">
      <formula>"X"</formula>
    </cfRule>
  </conditionalFormatting>
  <conditionalFormatting sqref="R4:AQ37">
    <cfRule type="expression" priority="10" dxfId="0">
      <formula>MOD(ROW(),2)=0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Y45"/>
  <sheetViews>
    <sheetView tabSelected="1" zoomScaleNormal="100" workbookViewId="0">
      <pane xSplit="2" ySplit="3" topLeftCell="C4" activePane="bottomRight" state="frozen"/>
      <selection pane="topRight" activeCell="A1" sqref="A1"/>
      <selection pane="bottomLeft" activeCell="A4" sqref="A4"/>
      <selection pane="bottomRight" activeCell="AY31" sqref="AY31"/>
    </sheetView>
  </sheetViews>
  <sheetFormatPr baseColWidth="10" defaultRowHeight="16"/>
  <cols>
    <col width="13" customWidth="1" style="224" min="1" max="1"/>
    <col width="10.6640625" customWidth="1" style="1" min="2" max="2"/>
    <col width="10.6640625" customWidth="1" style="224" min="3" max="3"/>
    <col width="10.6640625" customWidth="1" style="2" min="4" max="4"/>
    <col width="12.33203125" customWidth="1" style="224" min="5" max="5"/>
    <col hidden="1" width="10.6640625" customWidth="1" style="11" min="6" max="6"/>
    <col width="10.6640625" customWidth="1" style="2" min="7" max="7"/>
    <col width="10.6640625" customWidth="1" style="3" min="8" max="10"/>
    <col width="10.6640625" customWidth="1" style="2" min="11" max="11"/>
    <col width="10.6640625" customWidth="1" style="4" min="12" max="12"/>
    <col width="10.6640625" customWidth="1" style="224" min="13" max="13"/>
    <col width="10.6640625" customWidth="1" style="2" min="14" max="14"/>
    <col width="10.6640625" customWidth="1" style="224" min="15" max="17"/>
    <col width="10.6640625" customWidth="1" style="3" min="18" max="18"/>
    <col hidden="1" width="16.33203125" customWidth="1" style="2" min="19" max="20"/>
    <col hidden="1" width="16.33203125" customWidth="1" style="224" min="21" max="21"/>
    <col hidden="1" width="14.5" customWidth="1" style="2" min="22" max="23"/>
    <col hidden="1" width="14.5" customWidth="1" style="98" min="24" max="36"/>
    <col hidden="1" width="10.83203125" customWidth="1" style="98" min="37" max="48"/>
    <col width="13" customWidth="1" style="224" min="50" max="50"/>
    <col width="13" customWidth="1" style="224" min="51" max="51"/>
  </cols>
  <sheetData>
    <row r="1" ht="17" customHeight="1" s="224" thickBot="1"/>
    <row r="2" ht="18" customFormat="1" customHeight="1" s="1" thickBot="1">
      <c r="B2" s="198" t="n"/>
      <c r="C2" s="198" t="n"/>
      <c r="D2" s="243" t="inlineStr">
        <is>
          <t>PBs</t>
        </is>
      </c>
      <c r="E2" s="216" t="n"/>
      <c r="F2" s="217" t="n"/>
      <c r="G2" s="240" t="inlineStr">
        <is>
          <t>County 2026</t>
        </is>
      </c>
      <c r="H2" s="216" t="n"/>
      <c r="I2" s="216" t="n"/>
      <c r="J2" s="216" t="n"/>
      <c r="K2" s="216" t="n"/>
      <c r="L2" s="217" t="n"/>
      <c r="M2" s="237" t="inlineStr">
        <is>
          <t>Regional QT</t>
        </is>
      </c>
      <c r="N2" s="216" t="n"/>
      <c r="O2" s="216" t="n"/>
      <c r="P2" s="216" t="n"/>
      <c r="Q2" s="216" t="n"/>
      <c r="R2" s="217" t="n"/>
      <c r="AU2" s="216" t="n"/>
      <c r="AV2" s="217" t="n"/>
    </row>
    <row r="3" ht="30" customFormat="1" customHeight="1" s="10" thickBot="1">
      <c r="B3" s="199" t="inlineStr">
        <is>
          <t>Course</t>
        </is>
      </c>
      <c r="C3" s="200" t="inlineStr">
        <is>
          <t>Stroke</t>
        </is>
      </c>
      <c r="D3" s="201" t="inlineStr">
        <is>
          <t>PB</t>
        </is>
      </c>
      <c r="E3" s="202" t="inlineStr">
        <is>
          <t>Obtained</t>
        </is>
      </c>
      <c r="F3" s="203" t="inlineStr">
        <is>
          <t>Nat. Ranking</t>
        </is>
      </c>
      <c r="G3" s="204" t="inlineStr">
        <is>
          <t>County QT</t>
        </is>
      </c>
      <c r="H3" s="205" t="inlineStr">
        <is>
          <t>Difference</t>
        </is>
      </c>
      <c r="I3" s="205" t="inlineStr">
        <is>
          <t>County
Cons</t>
        </is>
      </c>
      <c r="J3" s="205" t="inlineStr">
        <is>
          <t>Cons
Difference</t>
        </is>
      </c>
      <c r="K3" s="205" t="inlineStr">
        <is>
          <t>Qual</t>
        </is>
      </c>
      <c r="L3" s="206" t="inlineStr">
        <is>
          <t>Ranking</t>
        </is>
      </c>
      <c r="M3" s="207" t="inlineStr">
        <is>
          <t>Regional QT</t>
        </is>
      </c>
      <c r="N3" s="208" t="inlineStr">
        <is>
          <t>Difference</t>
        </is>
      </c>
      <c r="O3" s="209" t="inlineStr">
        <is>
          <t>Regional 
Cons</t>
        </is>
      </c>
      <c r="P3" s="209" t="inlineStr">
        <is>
          <t>Cons 
Difference</t>
        </is>
      </c>
      <c r="Q3" s="209" t="inlineStr">
        <is>
          <t>Qual</t>
        </is>
      </c>
      <c r="R3" s="208" t="inlineStr">
        <is>
          <t>Ranking</t>
        </is>
      </c>
      <c r="S3" s="57" t="inlineStr">
        <is>
          <t>N&amp;UEL
23/24 March</t>
        </is>
      </c>
      <c r="T3" s="109" t="inlineStr">
        <is>
          <t>Junior Arena 1
18 May</t>
        </is>
      </c>
      <c r="U3" s="189" t="inlineStr">
        <is>
          <t>Junior Arena 
Finals 15/9</t>
        </is>
      </c>
      <c r="V3" s="109" t="inlineStr">
        <is>
          <t>BWFSC
Autumn 22/9</t>
        </is>
      </c>
      <c r="W3" s="109" t="inlineStr">
        <is>
          <t>Saxon Crown
6/10</t>
        </is>
      </c>
      <c r="X3" s="109" t="inlineStr">
        <is>
          <t>Club Champs (23-Nov)</t>
        </is>
      </c>
      <c r="Y3" s="109" t="inlineStr">
        <is>
          <t>Ealing  
(7/8 Dec)</t>
        </is>
      </c>
      <c r="Z3" s="108" t="inlineStr">
        <is>
          <t xml:space="preserve"> Ealing 
(18/1)</t>
        </is>
      </c>
      <c r="AA3" s="109" t="inlineStr">
        <is>
          <t xml:space="preserve"> County Champs (Feb 8-9) </t>
        </is>
      </c>
      <c r="AB3" s="109" t="inlineStr">
        <is>
          <t xml:space="preserve"> County Champs (Feb 15-16) </t>
        </is>
      </c>
      <c r="AC3" s="58" t="inlineStr">
        <is>
          <t xml:space="preserve"> RRSC 
(Mar 22-23) </t>
        </is>
      </c>
      <c r="AD3" s="58" t="inlineStr">
        <is>
          <t xml:space="preserve"> Ealing  
(April 17) </t>
        </is>
      </c>
      <c r="AE3" s="58" t="inlineStr">
        <is>
          <t xml:space="preserve"> Gators  
(June 22) -L</t>
        </is>
      </c>
      <c r="AF3" s="58" t="inlineStr">
        <is>
          <t xml:space="preserve"> Summer Splash  
(July  12-13) -S</t>
        </is>
      </c>
      <c r="AG3" s="58" t="inlineStr">
        <is>
          <t xml:space="preserve"> Saxon Crown  
(Oct  4-5) -S</t>
        </is>
      </c>
      <c r="AH3" s="58" t="inlineStr">
        <is>
          <t xml:space="preserve"> Club Champs  
(Nov 9)</t>
        </is>
      </c>
      <c r="AI3" s="58" t="inlineStr">
        <is>
          <t xml:space="preserve"> Xmas Qualifier  
(Nov 29-30)</t>
        </is>
      </c>
      <c r="AJ3" s="58" t="inlineStr">
        <is>
          <t xml:space="preserve"> Romford Xmas  
(Dec 14)</t>
        </is>
      </c>
      <c r="AK3" s="58" t="inlineStr">
        <is>
          <t xml:space="preserve"> Ealing L4  
(Jan 24)</t>
        </is>
      </c>
      <c r="AL3" s="58" t="inlineStr">
        <is>
          <t>Counties
(7-8 Feb)</t>
        </is>
      </c>
      <c r="AM3" s="58" t="inlineStr">
        <is>
          <t>Counties
(14-15 Feb)</t>
        </is>
      </c>
      <c r="AN3" s="58" t="inlineStr">
        <is>
          <t>Ealing RC 
(28-1 Mar)</t>
        </is>
      </c>
      <c r="AO3" s="58" t="inlineStr">
        <is>
          <t>Arena 
(7 March)</t>
        </is>
      </c>
      <c r="AP3" s="58" t="inlineStr">
        <is>
          <t xml:space="preserve"> BWFSC  
(8 March)</t>
        </is>
      </c>
      <c r="AQ3" s="58" t="inlineStr">
        <is>
          <t xml:space="preserve"> RRSC  
(14-15 Mar)</t>
        </is>
      </c>
      <c r="AR3" s="58" t="inlineStr">
        <is>
          <t>London Leg (28-29)</t>
        </is>
      </c>
      <c r="AS3" s="58" t="n"/>
      <c r="AT3" s="58" t="inlineStr">
        <is>
          <t>Winchester
(21 March)</t>
        </is>
      </c>
      <c r="AU3" s="58" t="inlineStr">
        <is>
          <t xml:space="preserve"> Regionals
(Apr 25/26)</t>
        </is>
      </c>
      <c r="AV3" s="58" t="inlineStr">
        <is>
          <t xml:space="preserve"> Regionals
(May2,3,4)</t>
        </is>
      </c>
      <c r="AW3" s="297" t="inlineStr">
        <is>
          <t>BSC Summer Fun
(7 Jun) -S</t>
        </is>
      </c>
      <c r="AX3" s="297" t="inlineStr">
        <is>
          <t>Club Champs
7 June 26</t>
        </is>
      </c>
      <c r="AY3" s="297" t="inlineStr">
        <is>
          <t>PNS (L)
11/12 July 26</t>
        </is>
      </c>
    </row>
    <row r="4" ht="18" customHeight="1" s="224">
      <c r="B4" s="13" t="inlineStr">
        <is>
          <t>S</t>
        </is>
      </c>
      <c r="C4" s="6" t="inlineStr">
        <is>
          <t>50 Free</t>
        </is>
      </c>
      <c r="D4" s="125" t="n">
        <v>0.0003996527777777778</v>
      </c>
      <c r="E4" s="44" t="n">
        <v>46082</v>
      </c>
      <c r="F4" s="210" t="inlineStr">
        <is>
          <t>100+</t>
        </is>
      </c>
      <c r="G4" s="158" t="n">
        <v>0.0003738425925925926</v>
      </c>
      <c r="H4" s="21">
        <f>IFERROR(IF(G4-D4&gt;0, TEXT(ABS(G4-D4), "MM:SS.00"), "-" &amp; TEXT(ABS(G4-D4), "MM:SS.00")),"-")</f>
        <v/>
      </c>
      <c r="I4" s="173" t="n">
        <v>0.0003958333333333334</v>
      </c>
      <c r="J4" s="176">
        <f>IFERROR(IF(I4-D4&gt;0, TEXT(ABS(I4-D4), "MM:SS.00"), "-" &amp; TEXT(ABS(I4-D4), "MM:SS.00")),"-")</f>
        <v/>
      </c>
      <c r="K4" s="168">
        <f>IF(OR(D4&lt;=G4,D21&lt;=G21),"Q",IF(OR(D4&lt;=I4,D21&lt;=I21),"C",""))</f>
        <v/>
      </c>
      <c r="L4" s="233" t="n">
        <v>13</v>
      </c>
      <c r="M4" s="150" t="n">
        <v>0.0003460648148148148</v>
      </c>
      <c r="N4" s="80">
        <f>IFERROR(IF(M4-D4&gt;0, TEXT(ABS(M4-D4), "MM:SS.00"), "-" &amp; TEXT(ABS(M4-D4), "MM:SS.00")),"-")</f>
        <v/>
      </c>
      <c r="O4" s="179" t="n">
        <v>0.0003634259259259259</v>
      </c>
      <c r="P4" s="151">
        <f>IFERROR(IF(O4-D4&gt;0, TEXT(ABS(O4-D4), "MM:SS.00"), "-" &amp; TEXT(ABS(O4-D4), "MM:SS.00")),"-")</f>
        <v/>
      </c>
      <c r="Q4" s="168">
        <f>IF(OR(D4&lt;=M4,D21&lt;=M21),"Q",IF(OR(D4&lt;=O4,D21&lt;=O21),"C",""))</f>
        <v/>
      </c>
      <c r="R4" s="229" t="n">
        <v>53</v>
      </c>
      <c r="S4" s="38" t="n"/>
      <c r="T4" s="38" t="n"/>
      <c r="U4" s="86" t="n"/>
      <c r="V4" s="81" t="n"/>
      <c r="W4" s="195" t="n"/>
      <c r="X4" s="104" t="n"/>
      <c r="Y4" s="104" t="inlineStr">
        <is>
          <t>S2-1</t>
        </is>
      </c>
      <c r="Z4" s="94" t="n"/>
      <c r="AA4" s="104" t="inlineStr">
        <is>
          <t>S2-3C</t>
        </is>
      </c>
      <c r="AB4" s="104" t="n"/>
      <c r="AC4" s="63" t="inlineStr">
        <is>
          <t>S1-3</t>
        </is>
      </c>
      <c r="AD4" s="63" t="inlineStr">
        <is>
          <t>S1-1</t>
        </is>
      </c>
      <c r="AE4" s="63" t="n"/>
      <c r="AF4" s="63" t="inlineStr">
        <is>
          <t>S2-1</t>
        </is>
      </c>
      <c r="AG4" s="63" t="inlineStr">
        <is>
          <t>S4-3</t>
        </is>
      </c>
      <c r="AH4" s="63" t="inlineStr">
        <is>
          <t>S1-1</t>
        </is>
      </c>
      <c r="AI4" s="123" t="n"/>
      <c r="AJ4" s="133" t="n"/>
      <c r="AK4" s="133" t="n"/>
      <c r="AL4" s="133" t="n"/>
      <c r="AM4" s="133" t="n"/>
      <c r="AN4" s="133" t="inlineStr">
        <is>
          <t>S2-1</t>
        </is>
      </c>
      <c r="AO4" s="133" t="n"/>
      <c r="AP4" s="133" t="inlineStr">
        <is>
          <t>L1-3</t>
        </is>
      </c>
      <c r="AQ4" s="138" t="inlineStr">
        <is>
          <t>L6-2</t>
        </is>
      </c>
      <c r="AR4" s="133" t="n"/>
      <c r="AS4" s="133" t="n"/>
      <c r="AT4" s="133" t="n"/>
      <c r="AU4" s="133" t="n"/>
      <c r="AV4" s="133" t="n"/>
      <c r="AW4" s="298" t="inlineStr">
        <is>
          <t>S5-9</t>
        </is>
      </c>
      <c r="AX4" s="298" t="inlineStr">
        <is>
          <t>S1-3</t>
        </is>
      </c>
      <c r="AY4" s="298" t="n"/>
    </row>
    <row r="5" ht="18" customHeight="1" s="224">
      <c r="B5" s="14" t="inlineStr">
        <is>
          <t>S</t>
        </is>
      </c>
      <c r="C5" s="5" t="inlineStr">
        <is>
          <t>100 Free</t>
        </is>
      </c>
      <c r="D5" s="126" t="n">
        <v>0.0008821759259259259</v>
      </c>
      <c r="E5" s="45" t="n">
        <v>45990</v>
      </c>
      <c r="F5" s="211" t="inlineStr">
        <is>
          <t>100+</t>
        </is>
      </c>
      <c r="G5" s="149" t="n">
        <v>0.000832175925925926</v>
      </c>
      <c r="H5" s="23">
        <f>IFERROR(IF(G5-D5&gt;0, TEXT(ABS(G5-D5), "MM:SS.00"), "-" &amp; TEXT(ABS(G5-D5), "MM:SS.00")),"-")</f>
        <v/>
      </c>
      <c r="I5" s="174" t="n">
        <v>0.0009027777777777777</v>
      </c>
      <c r="J5" s="177">
        <f>IFERROR(IF(I5-D5&gt;0, TEXT(ABS(I5-D5), "MM:SS.00"), "-" &amp; TEXT(ABS(I5-D5), "MM:SS.00")),"-")</f>
        <v/>
      </c>
      <c r="K5" s="169">
        <f>IF(OR(D5&lt;=G5,D22&lt;=G22),"Q",IF(OR(D5&lt;=I5,D22&lt;=I22),"C",""))</f>
        <v/>
      </c>
      <c r="L5" s="234" t="n">
        <v>17</v>
      </c>
      <c r="M5" s="152" t="n">
        <v>0.0007685185185185185</v>
      </c>
      <c r="N5" s="34">
        <f>IFERROR(IF(M5-D5&gt;0, TEXT(ABS(M5-D5), "MM:SS.00"), "-" &amp; TEXT(ABS(M5-D5), "MM:SS.00")),"-")</f>
        <v/>
      </c>
      <c r="O5" s="180" t="n">
        <v>0.0008078703703703704</v>
      </c>
      <c r="P5" s="153">
        <f>IFERROR(IF(O5-D5&gt;0, TEXT(ABS(O5-D5), "MM:SS.00"), "-" &amp; TEXT(ABS(O5-D5), "MM:SS.00")),"-")</f>
        <v/>
      </c>
      <c r="Q5" s="169">
        <f>IF(OR(D5&lt;=M5,D22&lt;=M22),"Q",IF(OR(D5&lt;=O5,D22&lt;=O22),"C",""))</f>
        <v/>
      </c>
      <c r="R5" s="230" t="n">
        <v>45</v>
      </c>
      <c r="S5" s="39" t="n"/>
      <c r="T5" s="39" t="n"/>
      <c r="U5" s="40" t="n"/>
      <c r="V5" s="61" t="n"/>
      <c r="W5" s="66" t="n"/>
      <c r="X5" s="102" t="n"/>
      <c r="Y5" s="102" t="inlineStr">
        <is>
          <t>S1-3</t>
        </is>
      </c>
      <c r="Z5" s="95" t="inlineStr">
        <is>
          <t>S1-2</t>
        </is>
      </c>
      <c r="AA5" s="102" t="n"/>
      <c r="AB5" s="102" t="inlineStr">
        <is>
          <t>S5-3C</t>
        </is>
      </c>
      <c r="AC5" s="64" t="inlineStr">
        <is>
          <t>S3-1</t>
        </is>
      </c>
      <c r="AD5" s="64" t="n"/>
      <c r="AE5" s="64" t="inlineStr">
        <is>
          <t>S2-2</t>
        </is>
      </c>
      <c r="AF5" s="64" t="inlineStr">
        <is>
          <t>S1-3</t>
        </is>
      </c>
      <c r="AG5" s="64" t="inlineStr">
        <is>
          <t>S4-2</t>
        </is>
      </c>
      <c r="AH5" s="64" t="inlineStr">
        <is>
          <t>S2-4</t>
        </is>
      </c>
      <c r="AI5" s="64" t="inlineStr">
        <is>
          <t>S1-3</t>
        </is>
      </c>
      <c r="AJ5" s="64" t="n"/>
      <c r="AK5" s="64" t="inlineStr">
        <is>
          <t>S2</t>
        </is>
      </c>
      <c r="AL5" s="64" t="n"/>
      <c r="AM5" s="64" t="n"/>
      <c r="AN5" s="122" t="inlineStr">
        <is>
          <t>S1-3</t>
        </is>
      </c>
      <c r="AO5" s="64" t="n"/>
      <c r="AP5" s="64" t="n"/>
      <c r="AQ5" s="64" t="inlineStr">
        <is>
          <t>L2-3</t>
        </is>
      </c>
      <c r="AR5" s="64" t="n"/>
      <c r="AS5" s="64" t="n"/>
      <c r="AT5" s="64" t="n"/>
      <c r="AU5" s="64" t="n"/>
      <c r="AV5" s="64" t="n"/>
      <c r="AW5" s="298" t="n"/>
      <c r="AX5" s="298" t="n"/>
      <c r="AY5" s="298" t="n"/>
    </row>
    <row r="6" ht="18" customHeight="1" s="224">
      <c r="B6" s="14" t="inlineStr">
        <is>
          <t>S</t>
        </is>
      </c>
      <c r="C6" s="5" t="inlineStr">
        <is>
          <t>200 Free</t>
        </is>
      </c>
      <c r="D6" s="126" t="n">
        <v>0.001940277777777778</v>
      </c>
      <c r="E6" s="45" t="n">
        <v>45991</v>
      </c>
      <c r="F6" s="211" t="inlineStr">
        <is>
          <t>100+</t>
        </is>
      </c>
      <c r="G6" s="149" t="n">
        <v>0.001829861111111111</v>
      </c>
      <c r="H6" s="23">
        <f>IFERROR(IF(G6-D6&gt;0, TEXT(ABS(G6-D6), "MM:SS.00"), "-" &amp; TEXT(ABS(G6-D6), "MM:SS.00")),"-")</f>
        <v/>
      </c>
      <c r="I6" s="174" t="n">
        <v>0.001974537037037037</v>
      </c>
      <c r="J6" s="177">
        <f>IFERROR(IF(I6-D6&gt;0, TEXT(ABS(I6-D6), "MM:SS.00"), "-" &amp; TEXT(ABS(I6-D6), "MM:SS.00")),"-")</f>
        <v/>
      </c>
      <c r="K6" s="169">
        <f>IF(OR(D6&lt;=G6,D23&lt;=G23),"Q",IF(OR(D6&lt;=I6,D23&lt;=I23),"C",""))</f>
        <v/>
      </c>
      <c r="L6" s="234" t="n">
        <v>17</v>
      </c>
      <c r="M6" s="152" t="n">
        <v>0.001642361111111111</v>
      </c>
      <c r="N6" s="34">
        <f>IFERROR(IF(M6-D6&gt;0, TEXT(ABS(M6-D6), "MM:SS.00"), "-" &amp; TEXT(ABS(M6-D6), "MM:SS.00")),"-")</f>
        <v/>
      </c>
      <c r="O6" s="180" t="n">
        <v>0.001726851851851852</v>
      </c>
      <c r="P6" s="153">
        <f>IFERROR(IF(O6-D6&gt;0, TEXT(ABS(O6-D6), "MM:SS.00"), "-" &amp; TEXT(ABS(O6-D6), "MM:SS.00")),"-")</f>
        <v/>
      </c>
      <c r="Q6" s="169">
        <f>IF(OR(D6&lt;=M6,D23&lt;=M23),"Q",IF(OR(D6&lt;=O6,D23&lt;=O23),"C",""))</f>
        <v/>
      </c>
      <c r="R6" s="230" t="n">
        <v>32</v>
      </c>
      <c r="S6" s="39" t="n"/>
      <c r="T6" s="39" t="n"/>
      <c r="U6" s="40" t="n"/>
      <c r="V6" s="61" t="n"/>
      <c r="W6" s="66" t="n"/>
      <c r="X6" s="102" t="inlineStr">
        <is>
          <t>S1-1</t>
        </is>
      </c>
      <c r="Y6" s="102" t="inlineStr">
        <is>
          <t>S4-2</t>
        </is>
      </c>
      <c r="Z6" s="95" t="n"/>
      <c r="AA6" s="102" t="n"/>
      <c r="AB6" s="102" t="inlineStr">
        <is>
          <t>S6-4C</t>
        </is>
      </c>
      <c r="AC6" s="64" t="inlineStr">
        <is>
          <t>S2-1</t>
        </is>
      </c>
      <c r="AD6" s="64" t="n"/>
      <c r="AE6" s="64" t="n"/>
      <c r="AF6" s="64" t="inlineStr">
        <is>
          <t>S4-2</t>
        </is>
      </c>
      <c r="AG6" s="64" t="n"/>
      <c r="AH6" s="64" t="n"/>
      <c r="AI6" s="64" t="inlineStr">
        <is>
          <t>S4-2</t>
        </is>
      </c>
      <c r="AJ6" s="64" t="n"/>
      <c r="AK6" s="64" t="n"/>
      <c r="AL6" s="64" t="n"/>
      <c r="AM6" s="64" t="n"/>
      <c r="AN6" s="64" t="inlineStr">
        <is>
          <t>S4-2</t>
        </is>
      </c>
      <c r="AO6" s="64" t="n"/>
      <c r="AP6" s="64" t="n"/>
      <c r="AQ6" s="64" t="inlineStr">
        <is>
          <t>L5-3</t>
        </is>
      </c>
      <c r="AR6" s="64" t="n"/>
      <c r="AS6" s="64" t="n"/>
      <c r="AT6" s="64" t="n"/>
      <c r="AU6" s="64" t="n"/>
      <c r="AV6" s="64" t="n"/>
      <c r="AW6" s="298" t="n"/>
      <c r="AX6" s="298" t="n"/>
      <c r="AY6" s="298" t="n"/>
    </row>
    <row r="7" ht="18" customHeight="1" s="224">
      <c r="B7" s="14" t="inlineStr">
        <is>
          <t>S</t>
        </is>
      </c>
      <c r="C7" s="5" t="inlineStr">
        <is>
          <t>400 Free</t>
        </is>
      </c>
      <c r="D7" s="126" t="n">
        <v>0.003983912037037037</v>
      </c>
      <c r="E7" s="45" t="n">
        <v>45970</v>
      </c>
      <c r="F7" s="211" t="n">
        <v>97</v>
      </c>
      <c r="G7" s="149" t="n">
        <v>0.003886574074074074</v>
      </c>
      <c r="H7" s="23">
        <f>IFERROR(IF(G7-D7&gt;0, TEXT(ABS(G7-D7), "MM:SS.00"), "-" &amp; TEXT(ABS(G7-D7), "MM:SS.00")),"-")</f>
        <v/>
      </c>
      <c r="I7" s="174" t="n">
        <v>0.003966435185185185</v>
      </c>
      <c r="J7" s="177">
        <f>IFERROR(IF(I7-D7&gt;0, TEXT(ABS(I7-D7), "MM:SS.00"), "-" &amp; TEXT(ABS(I7-D7), "MM:SS.00")),"-")</f>
        <v/>
      </c>
      <c r="K7" s="169">
        <f>IF(OR(D7&lt;=G7,D24&lt;=G24),"Q",IF(OR(D7&lt;=I7,D24&lt;=I24),"C",""))</f>
        <v/>
      </c>
      <c r="L7" s="234" t="n">
        <v>10</v>
      </c>
      <c r="M7" s="152" t="n">
        <v>0.003487268518518518</v>
      </c>
      <c r="N7" s="34">
        <f>IFERROR(IF(M7-D7&gt;0, TEXT(ABS(M7-D7), "MM:SS.00"), "-" &amp; TEXT(ABS(M7-D7), "MM:SS.00")),"-")</f>
        <v/>
      </c>
      <c r="O7" s="180" t="n">
        <v>0.003666666666666667</v>
      </c>
      <c r="P7" s="153">
        <f>IFERROR(IF(O7-D7&gt;0, TEXT(ABS(O7-D7), "MM:SS.00"), "-" &amp; TEXT(ABS(O7-D7), "MM:SS.00")),"-")</f>
        <v/>
      </c>
      <c r="Q7" s="169">
        <f>IF(OR(D7&lt;=M7,D24&lt;=M24),"Q",IF(OR(D7&lt;=O7,D24&lt;=O24),"C",""))</f>
        <v/>
      </c>
      <c r="R7" s="230" t="n">
        <v>20</v>
      </c>
      <c r="S7" s="39" t="n"/>
      <c r="T7" s="39" t="n"/>
      <c r="U7" s="40" t="n"/>
      <c r="V7" s="61" t="n"/>
      <c r="W7" s="66" t="n"/>
      <c r="X7" s="102" t="n"/>
      <c r="Y7" s="102" t="inlineStr">
        <is>
          <t>S1-1</t>
        </is>
      </c>
      <c r="Z7" s="95" t="n"/>
      <c r="AA7" s="102" t="inlineStr">
        <is>
          <t>S3-4C</t>
        </is>
      </c>
      <c r="AB7" s="102" t="n"/>
      <c r="AC7" s="64" t="inlineStr">
        <is>
          <t>S4-1</t>
        </is>
      </c>
      <c r="AD7" s="64" t="n"/>
      <c r="AE7" s="64" t="n"/>
      <c r="AF7" s="64" t="inlineStr">
        <is>
          <t>S1-1</t>
        </is>
      </c>
      <c r="AG7" s="64" t="n"/>
      <c r="AH7" s="64" t="inlineStr">
        <is>
          <t>S1-3</t>
        </is>
      </c>
      <c r="AI7" s="64" t="inlineStr">
        <is>
          <t>S1-1</t>
        </is>
      </c>
      <c r="AJ7" s="64" t="n"/>
      <c r="AK7" s="64" t="n"/>
      <c r="AL7" s="64" t="n"/>
      <c r="AM7" s="64" t="n"/>
      <c r="AN7" s="122" t="inlineStr">
        <is>
          <t>S1-1</t>
        </is>
      </c>
      <c r="AO7" s="64" t="n"/>
      <c r="AP7" s="64" t="n"/>
      <c r="AQ7" s="64" t="n"/>
      <c r="AR7" s="64" t="n"/>
      <c r="AS7" s="64" t="n"/>
      <c r="AT7" s="64" t="n"/>
      <c r="AU7" s="64" t="n"/>
      <c r="AV7" s="64" t="n"/>
      <c r="AW7" s="298" t="n"/>
      <c r="AX7" s="298" t="n"/>
      <c r="AY7" s="298" t="n"/>
    </row>
    <row r="8" ht="18" customHeight="1" s="224">
      <c r="B8" s="14" t="inlineStr">
        <is>
          <t>S</t>
        </is>
      </c>
      <c r="C8" s="5" t="inlineStr">
        <is>
          <t>800 Free</t>
        </is>
      </c>
      <c r="D8" s="126" t="n">
        <v>0.008078703703703704</v>
      </c>
      <c r="E8" s="45" t="n">
        <v>45968</v>
      </c>
      <c r="F8" s="211" t="n">
        <v>97</v>
      </c>
      <c r="G8" s="149" t="n">
        <v>0.008622685185185185</v>
      </c>
      <c r="H8" s="23">
        <f>IFERROR(IF(G8-D8&gt;0, TEXT(ABS(G8-D8), "MM:SS.00"), "-" &amp; TEXT(ABS(G8-D8), "MM:SS.00")),"-")</f>
        <v/>
      </c>
      <c r="I8" s="174" t="n">
        <v>0.009150462962962963</v>
      </c>
      <c r="J8" s="177">
        <f>IFERROR(IF(I8-D8&gt;0, TEXT(ABS(I8-D8), "MM:SS.00"), "-" &amp; TEXT(ABS(I8-D8), "MM:SS.00")),"-")</f>
        <v/>
      </c>
      <c r="K8" s="169">
        <f>IF(OR(D8&lt;=G8,D25&lt;=G25),"Q",IF(OR(D8&lt;=I8,D25&lt;=I25),"C",""))</f>
        <v/>
      </c>
      <c r="L8" s="234" t="n">
        <v>2</v>
      </c>
      <c r="M8" s="152" t="n">
        <v>0.007033564814814815</v>
      </c>
      <c r="N8" s="34">
        <f>IFERROR(IF(M8-D8&gt;0, TEXT(ABS(M8-D8), "MM:SS.00"), "-" &amp; TEXT(ABS(M8-D8), "MM:SS.00")),"-")</f>
        <v/>
      </c>
      <c r="O8" s="180" t="n">
        <v>0.007395833333333333</v>
      </c>
      <c r="P8" s="153">
        <f>IFERROR(IF(O8-D8&gt;0, TEXT(ABS(O8-D8), "MM:SS.00"), "-" &amp; TEXT(ABS(O8-D8), "MM:SS.00")),"-")</f>
        <v/>
      </c>
      <c r="Q8" s="169">
        <f>IF(OR(D8&lt;=M8,D25&lt;=M25),"Q",IF(OR(D8&lt;=O8,D25&lt;=O25),"C",""))</f>
        <v/>
      </c>
      <c r="R8" s="230" t="n"/>
      <c r="S8" s="39" t="n"/>
      <c r="T8" s="39" t="n"/>
      <c r="U8" s="40" t="n"/>
      <c r="V8" s="61" t="n"/>
      <c r="W8" s="66" t="n"/>
      <c r="X8" s="102" t="n"/>
      <c r="Y8" s="102" t="inlineStr">
        <is>
          <t>S1-1</t>
        </is>
      </c>
      <c r="Z8" s="95" t="n"/>
      <c r="AA8" s="102" t="inlineStr">
        <is>
          <t>S3-4C</t>
        </is>
      </c>
      <c r="AB8" s="102" t="n"/>
      <c r="AC8" s="64" t="inlineStr">
        <is>
          <t>S4-1</t>
        </is>
      </c>
      <c r="AD8" s="64" t="n"/>
      <c r="AE8" s="64" t="n"/>
      <c r="AF8" s="64" t="inlineStr">
        <is>
          <t>S1-1</t>
        </is>
      </c>
      <c r="AG8" s="64" t="n"/>
      <c r="AH8" s="64" t="inlineStr">
        <is>
          <t>Friday</t>
        </is>
      </c>
      <c r="AI8" s="64" t="n"/>
      <c r="AJ8" s="64" t="n"/>
      <c r="AK8" s="64" t="n"/>
      <c r="AL8" s="64" t="inlineStr">
        <is>
          <t>L2-1</t>
        </is>
      </c>
      <c r="AM8" s="64" t="n"/>
      <c r="AN8" s="64" t="n"/>
      <c r="AO8" s="64" t="n"/>
      <c r="AP8" s="64" t="n"/>
      <c r="AQ8" s="122" t="inlineStr">
        <is>
          <t>L1-1</t>
        </is>
      </c>
      <c r="AR8" s="64" t="n"/>
      <c r="AS8" s="64" t="n"/>
      <c r="AT8" s="64" t="n"/>
      <c r="AU8" s="64" t="n"/>
      <c r="AV8" s="64" t="n"/>
      <c r="AW8" s="298" t="n"/>
      <c r="AX8" s="298" t="n"/>
      <c r="AY8" s="298" t="n"/>
    </row>
    <row r="9" ht="18" customHeight="1" s="224">
      <c r="B9" s="14" t="inlineStr">
        <is>
          <t>S</t>
        </is>
      </c>
      <c r="C9" s="5" t="inlineStr">
        <is>
          <t>1500 Free</t>
        </is>
      </c>
      <c r="D9" s="126" t="inlineStr">
        <is>
          <t>-</t>
        </is>
      </c>
      <c r="E9" s="45" t="n"/>
      <c r="F9" s="211" t="n">
        <v>97</v>
      </c>
      <c r="G9" s="149" t="n">
        <v>0.01403356481481481</v>
      </c>
      <c r="H9" s="23">
        <f>IFERROR(IF(G9-D9&gt;0, TEXT(ABS(G9-D9), "MM:SS.00"), "-" &amp; TEXT(ABS(G9-D9), "MM:SS.00")),"-")</f>
        <v/>
      </c>
      <c r="I9" s="174" t="n">
        <v>0.01431712962962963</v>
      </c>
      <c r="J9" s="177">
        <f>IFERROR(IF(I9-D9&gt;0, TEXT(ABS(I9-D9), "MM:SS.00"), "-" &amp; TEXT(ABS(I9-D9), "MM:SS.00")),"-")</f>
        <v/>
      </c>
      <c r="K9" s="169">
        <f>IF(OR(D9&lt;=G9,D26&lt;=G26),"Q",IF(OR(D9&lt;=I9,D26&lt;=I26),"C",""))</f>
        <v/>
      </c>
      <c r="L9" s="234" t="n">
        <v>10</v>
      </c>
      <c r="M9" s="152" t="n">
        <v>0.01368865740740741</v>
      </c>
      <c r="N9" s="34">
        <f>IFERROR(IF(M9-D9&gt;0, TEXT(ABS(M9-D9), "MM:SS.00"), "-" &amp; TEXT(ABS(M9-D9), "MM:SS.00")),"-")</f>
        <v/>
      </c>
      <c r="O9" s="180" t="n">
        <v>0.01439236111111111</v>
      </c>
      <c r="P9" s="153">
        <f>IFERROR(IF(O9-D9&gt;0, TEXT(ABS(O9-D9), "MM:SS.00"), "-" &amp; TEXT(ABS(O9-D9), "MM:SS.00")),"-")</f>
        <v/>
      </c>
      <c r="Q9" s="169">
        <f>IF(OR(D9&lt;=M9,D26&lt;=M26),"Q",IF(OR(D9&lt;=O9,D26&lt;=O26),"C",""))</f>
        <v/>
      </c>
      <c r="R9" s="230" t="n"/>
      <c r="S9" s="39" t="n"/>
      <c r="T9" s="39" t="n"/>
      <c r="U9" s="40" t="n"/>
      <c r="V9" s="61" t="n"/>
      <c r="W9" s="66" t="n"/>
      <c r="X9" s="102" t="n"/>
      <c r="Y9" s="102" t="inlineStr">
        <is>
          <t>S1-1</t>
        </is>
      </c>
      <c r="Z9" s="95" t="n"/>
      <c r="AA9" s="102" t="inlineStr">
        <is>
          <t>S3-4C</t>
        </is>
      </c>
      <c r="AB9" s="102" t="n"/>
      <c r="AC9" s="64" t="inlineStr">
        <is>
          <t>S4-1</t>
        </is>
      </c>
      <c r="AD9" s="64" t="n"/>
      <c r="AE9" s="64" t="n"/>
      <c r="AF9" s="64" t="inlineStr">
        <is>
          <t>S1-1</t>
        </is>
      </c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298" t="n"/>
      <c r="AX9" s="298" t="n"/>
      <c r="AY9" s="298" t="n"/>
    </row>
    <row r="10" ht="18" customHeight="1" s="224">
      <c r="A10" s="184" t="n"/>
      <c r="B10" s="14" t="inlineStr">
        <is>
          <t>S</t>
        </is>
      </c>
      <c r="C10" s="5" t="inlineStr">
        <is>
          <t>50 Back</t>
        </is>
      </c>
      <c r="D10" s="126" t="n">
        <v>0.000431712962962963</v>
      </c>
      <c r="E10" s="45" t="n">
        <v>46177</v>
      </c>
      <c r="F10" s="211" t="n">
        <v>73</v>
      </c>
      <c r="G10" s="149" t="n">
        <v>0.0004421296296296297</v>
      </c>
      <c r="H10" s="23">
        <f>IFERROR(IF(G10-D10&gt;0, TEXT(ABS(G10-D10), "MM:SS.00"), "-" &amp; TEXT(ABS(G10-D10), "MM:SS.00")),"-")</f>
        <v/>
      </c>
      <c r="I10" s="174" t="n">
        <v>0.0004722222222222222</v>
      </c>
      <c r="J10" s="177">
        <f>IFERROR(IF(I10-D10&gt;0, TEXT(ABS(I10-D10), "MM:SS.00"), "-" &amp; TEXT(ABS(I10-D10), "MM:SS.00")),"-")</f>
        <v/>
      </c>
      <c r="K10" s="169">
        <f>IF(OR(D10&lt;=G10,D27&lt;=G27),"Q",IF(OR(D10&lt;=I10,D27&lt;=I27),"C",""))</f>
        <v/>
      </c>
      <c r="L10" s="234" t="n">
        <v>3</v>
      </c>
      <c r="M10" s="152" t="n">
        <v>0.0004074074074074074</v>
      </c>
      <c r="N10" s="34">
        <f>IFERROR(IF(M10-D10&gt;0, TEXT(ABS(M10-D10), "MM:SS.00"), "-" &amp; TEXT(ABS(M10-D10), "MM:SS.00")),"-")</f>
        <v/>
      </c>
      <c r="O10" s="180" t="n">
        <v>0.0004293981481481482</v>
      </c>
      <c r="P10" s="153">
        <f>IFERROR(IF(O10-D10&gt;0, TEXT(ABS(O10-D10), "MM:SS.00"), "-" &amp; TEXT(ABS(O10-D10), "MM:SS.00")),"-")</f>
        <v/>
      </c>
      <c r="Q10" s="169">
        <f>IF(OR(D10&lt;=M10,D27&lt;=M27),"Q",IF(OR(D10&lt;=O10,D27&lt;=O27),"C",""))</f>
        <v/>
      </c>
      <c r="R10" s="230" t="n">
        <v>8</v>
      </c>
      <c r="S10" s="39" t="n"/>
      <c r="T10" s="39" t="n"/>
      <c r="U10" s="40" t="n"/>
      <c r="V10" s="61" t="n"/>
      <c r="W10" s="66" t="n"/>
      <c r="X10" s="102" t="n"/>
      <c r="Y10" s="102" t="inlineStr">
        <is>
          <t>S4-1</t>
        </is>
      </c>
      <c r="Z10" s="95" t="inlineStr">
        <is>
          <t>S1-3</t>
        </is>
      </c>
      <c r="AA10" s="102" t="inlineStr">
        <is>
          <t>S1-3</t>
        </is>
      </c>
      <c r="AB10" s="102" t="n"/>
      <c r="AC10" s="64" t="inlineStr">
        <is>
          <t>S2-2</t>
        </is>
      </c>
      <c r="AD10" s="64" t="n"/>
      <c r="AE10" s="64" t="inlineStr">
        <is>
          <t>S2-3</t>
        </is>
      </c>
      <c r="AF10" s="64" t="inlineStr">
        <is>
          <t>S4-1</t>
        </is>
      </c>
      <c r="AG10" s="64" t="inlineStr">
        <is>
          <t>S4-1</t>
        </is>
      </c>
      <c r="AH10" s="64" t="inlineStr">
        <is>
          <t>S1-2</t>
        </is>
      </c>
      <c r="AI10" s="64" t="inlineStr">
        <is>
          <t>S4-1</t>
        </is>
      </c>
      <c r="AJ10" s="64" t="inlineStr">
        <is>
          <t>S2-2</t>
        </is>
      </c>
      <c r="AK10" s="64" t="inlineStr">
        <is>
          <t>S3</t>
        </is>
      </c>
      <c r="AL10" s="64" t="inlineStr">
        <is>
          <t>L1-1</t>
        </is>
      </c>
      <c r="AM10" s="64" t="n"/>
      <c r="AN10" s="64" t="inlineStr">
        <is>
          <t>S4-1</t>
        </is>
      </c>
      <c r="AO10" s="64" t="n"/>
      <c r="AP10" s="64" t="inlineStr">
        <is>
          <t>L2-2</t>
        </is>
      </c>
      <c r="AQ10" s="64" t="inlineStr">
        <is>
          <t>L2-2</t>
        </is>
      </c>
      <c r="AR10" s="64" t="inlineStr">
        <is>
          <t>D1-L2-1</t>
        </is>
      </c>
      <c r="AS10" s="64" t="n"/>
      <c r="AT10" s="64" t="n"/>
      <c r="AU10" s="64" t="n"/>
      <c r="AV10" s="64" t="n"/>
      <c r="AW10" s="298" t="inlineStr">
        <is>
          <t>S9-3</t>
        </is>
      </c>
      <c r="AX10" s="298" t="inlineStr">
        <is>
          <t>S1-5</t>
        </is>
      </c>
      <c r="AY10" s="298" t="n"/>
    </row>
    <row r="11" ht="18" customHeight="1" s="224">
      <c r="B11" s="14" t="inlineStr">
        <is>
          <t>S</t>
        </is>
      </c>
      <c r="C11" s="5" t="inlineStr">
        <is>
          <t>100 Back</t>
        </is>
      </c>
      <c r="D11" s="126" t="n">
        <v>0.0009351851851851852</v>
      </c>
      <c r="E11" s="45" t="n">
        <v>46081</v>
      </c>
      <c r="F11" s="211" t="n">
        <v>53</v>
      </c>
      <c r="G11" s="149" t="n">
        <v>0.0009710648148148149</v>
      </c>
      <c r="H11" s="23">
        <f>IFERROR(IF(G11-D11&gt;0, TEXT(ABS(G11-D11), "MM:SS.00"), "-" &amp; TEXT(ABS(G11-D11), "MM:SS.00")),"-")</f>
        <v/>
      </c>
      <c r="I11" s="174" t="n">
        <v>0.001030092592592593</v>
      </c>
      <c r="J11" s="177">
        <f>IFERROR(IF(I11-D11&gt;0, TEXT(ABS(I11-D11), "MM:SS.00"), "-" &amp; TEXT(ABS(I11-D11), "MM:SS.00")),"-")</f>
        <v/>
      </c>
      <c r="K11" s="169">
        <f>IF(OR(D11&lt;=G11,D28&lt;=G28),"Q",IF(OR(D11&lt;=I11,D28&lt;=I28),"C",""))</f>
        <v/>
      </c>
      <c r="L11" s="234" t="n">
        <v>4</v>
      </c>
      <c r="M11" s="152" t="n">
        <v>0.000880787037037037</v>
      </c>
      <c r="N11" s="34">
        <f>IFERROR(IF(M11-D11&gt;0, TEXT(ABS(M11-D11), "MM:SS.00"), "-" &amp; TEXT(ABS(M11-D11), "MM:SS.00")),"-")</f>
        <v/>
      </c>
      <c r="O11" s="180" t="n">
        <v>0.000925925925925926</v>
      </c>
      <c r="P11" s="153">
        <f>IFERROR(IF(O11-D11&gt;0, TEXT(ABS(O11-D11), "MM:SS.00"), "-" &amp; TEXT(ABS(O11-D11), "MM:SS.00")),"-")</f>
        <v/>
      </c>
      <c r="Q11" s="169">
        <f>IF(OR(D11&lt;=M11,D28&lt;=M28),"Q",IF(OR(D11&lt;=O11,D28&lt;=O28),"C",""))</f>
        <v/>
      </c>
      <c r="R11" s="230" t="n">
        <v>9</v>
      </c>
      <c r="S11" s="39" t="n"/>
      <c r="T11" s="39" t="n"/>
      <c r="U11" s="40" t="n"/>
      <c r="V11" s="61" t="n"/>
      <c r="W11" s="66" t="n"/>
      <c r="X11" s="102" t="n"/>
      <c r="Y11" s="102" t="inlineStr">
        <is>
          <t>S2-2</t>
        </is>
      </c>
      <c r="Z11" s="95" t="n"/>
      <c r="AA11" s="102" t="n"/>
      <c r="AB11" s="102" t="inlineStr">
        <is>
          <t>S6-2</t>
        </is>
      </c>
      <c r="AC11" s="64" t="inlineStr">
        <is>
          <t>S4-2</t>
        </is>
      </c>
      <c r="AD11" s="64" t="n"/>
      <c r="AE11" s="64" t="n"/>
      <c r="AF11" s="64" t="inlineStr">
        <is>
          <t>S2-2</t>
        </is>
      </c>
      <c r="AG11" s="64" t="inlineStr">
        <is>
          <t>S3-1</t>
        </is>
      </c>
      <c r="AH11" s="122" t="inlineStr">
        <is>
          <t>S2-2</t>
        </is>
      </c>
      <c r="AI11" s="122" t="inlineStr">
        <is>
          <t>S2-2</t>
        </is>
      </c>
      <c r="AJ11" s="122" t="n"/>
      <c r="AK11" s="134" t="n"/>
      <c r="AL11" s="134" t="n"/>
      <c r="AM11" s="134" t="inlineStr">
        <is>
          <t>L6-1</t>
        </is>
      </c>
      <c r="AN11" s="134" t="inlineStr">
        <is>
          <t>S2-3</t>
        </is>
      </c>
      <c r="AO11" s="134" t="n"/>
      <c r="AP11" s="134" t="inlineStr">
        <is>
          <t>L1-2</t>
        </is>
      </c>
      <c r="AQ11" s="134" t="inlineStr">
        <is>
          <t>L5-1</t>
        </is>
      </c>
      <c r="AR11" s="134" t="inlineStr">
        <is>
          <t>D2-L2-1</t>
        </is>
      </c>
      <c r="AS11" s="134" t="n"/>
      <c r="AT11" s="134" t="inlineStr">
        <is>
          <t>L1-1</t>
        </is>
      </c>
      <c r="AU11" s="134" t="n"/>
      <c r="AV11" s="134" t="n"/>
      <c r="AW11" s="298" t="n"/>
      <c r="AX11" s="298" t="n"/>
      <c r="AY11" s="298" t="n"/>
    </row>
    <row r="12" ht="18" customHeight="1" s="224">
      <c r="B12" s="14" t="inlineStr">
        <is>
          <t>S</t>
        </is>
      </c>
      <c r="C12" s="5" t="inlineStr">
        <is>
          <t>200 Back</t>
        </is>
      </c>
      <c r="D12" s="126" t="n">
        <v>0.002012962962962963</v>
      </c>
      <c r="E12" s="45" t="n">
        <v>45991</v>
      </c>
      <c r="F12" s="211" t="inlineStr">
        <is>
          <t>100+</t>
        </is>
      </c>
      <c r="G12" s="149" t="n">
        <v>0.002096064814814815</v>
      </c>
      <c r="H12" s="23">
        <f>IFERROR(IF(G12-D12&gt;0, TEXT(ABS(G12-D12), "MM:SS.00"), "-" &amp; TEXT(ABS(G12-D12), "MM:SS.00")),"-")</f>
        <v/>
      </c>
      <c r="I12" s="174" t="n">
        <v>0.002197916666666667</v>
      </c>
      <c r="J12" s="177">
        <f>IFERROR(IF(I12-D12&gt;0, TEXT(ABS(I12-D12), "MM:SS.00"), "-" &amp; TEXT(ABS(I12-D12), "MM:SS.00")),"-")</f>
        <v/>
      </c>
      <c r="K12" s="169">
        <f>IF(OR(D12&lt;=G12,D29&lt;=G29),"Q",IF(OR(D12&lt;=I12,D29&lt;=I29),"C",""))</f>
        <v/>
      </c>
      <c r="L12" s="234" t="n">
        <v>7</v>
      </c>
      <c r="M12" s="152" t="n">
        <v>0.001865740740740741</v>
      </c>
      <c r="N12" s="34">
        <f>IFERROR(IF(M12-D12&gt;0, TEXT(ABS(M12-D12), "MM:SS.00"), "-" &amp; TEXT(ABS(M12-D12), "MM:SS.00")),"-")</f>
        <v/>
      </c>
      <c r="O12" s="180" t="n">
        <v>0.001960648148148148</v>
      </c>
      <c r="P12" s="153">
        <f>IFERROR(IF(O12-D12&gt;0, TEXT(ABS(O12-D12), "MM:SS.00"), "-" &amp; TEXT(ABS(O12-D12), "MM:SS.00")),"-")</f>
        <v/>
      </c>
      <c r="Q12" s="169">
        <f>IF(OR(D12&lt;=M12,D29&lt;=M29),"Q",IF(OR(D12&lt;=O12,D29&lt;=O29),"C",""))</f>
        <v/>
      </c>
      <c r="R12" s="230" t="n"/>
      <c r="S12" s="39" t="n"/>
      <c r="T12" s="39" t="n"/>
      <c r="U12" s="40" t="n"/>
      <c r="V12" s="61" t="n"/>
      <c r="W12" s="66" t="n"/>
      <c r="X12" s="102" t="n"/>
      <c r="Y12" s="102" t="inlineStr">
        <is>
          <t>S3-2</t>
        </is>
      </c>
      <c r="Z12" s="95" t="n"/>
      <c r="AA12" s="102" t="n"/>
      <c r="AB12" s="102" t="inlineStr">
        <is>
          <t>S7-2</t>
        </is>
      </c>
      <c r="AC12" s="64" t="inlineStr">
        <is>
          <t>S1-1</t>
        </is>
      </c>
      <c r="AD12" s="64" t="n"/>
      <c r="AE12" s="64" t="n"/>
      <c r="AF12" s="64" t="inlineStr">
        <is>
          <t>S3-2</t>
        </is>
      </c>
      <c r="AG12" s="64" t="inlineStr">
        <is>
          <t>S1-2</t>
        </is>
      </c>
      <c r="AH12" s="64" t="n"/>
      <c r="AI12" s="64" t="n"/>
      <c r="AJ12" s="64" t="inlineStr">
        <is>
          <t>S1-1</t>
        </is>
      </c>
      <c r="AK12" s="64" t="n"/>
      <c r="AL12" s="64" t="n"/>
      <c r="AM12" s="64" t="inlineStr">
        <is>
          <t>L7-1</t>
        </is>
      </c>
      <c r="AN12" s="64" t="inlineStr">
        <is>
          <t>S3-2</t>
        </is>
      </c>
      <c r="AO12" s="64" t="n"/>
      <c r="AP12" s="64" t="n"/>
      <c r="AQ12" s="139" t="inlineStr">
        <is>
          <t>L6-1</t>
        </is>
      </c>
      <c r="AR12" s="64" t="inlineStr">
        <is>
          <t>D2-L3-2</t>
        </is>
      </c>
      <c r="AS12" s="64" t="n"/>
      <c r="AT12" s="64" t="n"/>
      <c r="AU12" s="64" t="n"/>
      <c r="AV12" s="64" t="n"/>
      <c r="AW12" s="298" t="n"/>
      <c r="AX12" s="298" t="n"/>
      <c r="AY12" s="298" t="n"/>
    </row>
    <row r="13" ht="18" customHeight="1" s="224">
      <c r="B13" s="14" t="inlineStr">
        <is>
          <t>S</t>
        </is>
      </c>
      <c r="C13" s="5" t="inlineStr">
        <is>
          <t>50 Breast</t>
        </is>
      </c>
      <c r="D13" s="126" t="n">
        <v>0.0005456018518518519</v>
      </c>
      <c r="E13" s="45" t="n">
        <v>45990</v>
      </c>
      <c r="F13" s="211" t="inlineStr">
        <is>
          <t>100+</t>
        </is>
      </c>
      <c r="G13" s="149" t="n">
        <v>0.0004930555555555556</v>
      </c>
      <c r="H13" s="23">
        <f>IFERROR(IF(G13-D13&gt;0, TEXT(ABS(G13-D13), "MM:SS.00"), "-" &amp; TEXT(ABS(G13-D13), "MM:SS.00")),"-")</f>
        <v/>
      </c>
      <c r="I13" s="174" t="n">
        <v>0.0005358796296296296</v>
      </c>
      <c r="J13" s="177">
        <f>IFERROR(IF(I13-D13&gt;0, TEXT(ABS(I13-D13), "MM:SS.00"), "-" &amp; TEXT(ABS(I13-D13), "MM:SS.00")),"-")</f>
        <v/>
      </c>
      <c r="K13" s="169">
        <f>IF(OR(D13&lt;=G13,D30&lt;=G30),"Q",IF(OR(D13&lt;=I13,D30&lt;=I30),"C",""))</f>
        <v/>
      </c>
      <c r="L13" s="234" t="n">
        <v>12</v>
      </c>
      <c r="M13" s="152" t="n">
        <v>0.0004583333333333333</v>
      </c>
      <c r="N13" s="34">
        <f>IFERROR(IF(M13-D13&gt;0, TEXT(ABS(M13-D13), "MM:SS.00"), "-" &amp; TEXT(ABS(M13-D13), "MM:SS.00")),"-")</f>
        <v/>
      </c>
      <c r="O13" s="180" t="n">
        <v>0.0004814814814814815</v>
      </c>
      <c r="P13" s="153">
        <f>IFERROR(IF(O13-D13&gt;0, TEXT(ABS(O13-D13), "MM:SS.00"), "-" &amp; TEXT(ABS(O13-D13), "MM:SS.00")),"-")</f>
        <v/>
      </c>
      <c r="Q13" s="169">
        <f>IF(OR(D13&lt;=M13,D30&lt;=M30),"Q",IF(OR(D13&lt;=O13,D30&lt;=O30),"C",""))</f>
        <v/>
      </c>
      <c r="R13" s="230" t="inlineStr">
        <is>
          <t>100+</t>
        </is>
      </c>
      <c r="S13" s="39" t="n"/>
      <c r="T13" s="39" t="n"/>
      <c r="U13" s="40" t="n"/>
      <c r="V13" s="61" t="n"/>
      <c r="W13" s="66" t="n"/>
      <c r="X13" s="102" t="n"/>
      <c r="Y13" s="102" t="inlineStr">
        <is>
          <t>S1-2</t>
        </is>
      </c>
      <c r="Z13" s="95" t="n"/>
      <c r="AA13" s="102" t="n"/>
      <c r="AB13" s="102" t="n"/>
      <c r="AC13" s="64" t="n"/>
      <c r="AD13" s="64" t="n"/>
      <c r="AE13" s="64" t="n"/>
      <c r="AF13" s="64" t="inlineStr">
        <is>
          <t>S1-2</t>
        </is>
      </c>
      <c r="AG13" s="64" t="n"/>
      <c r="AH13" s="64" t="inlineStr">
        <is>
          <t>S1-4</t>
        </is>
      </c>
      <c r="AI13" s="64" t="inlineStr">
        <is>
          <t>S1-2</t>
        </is>
      </c>
      <c r="AJ13" s="64" t="n"/>
      <c r="AK13" s="64" t="n"/>
      <c r="AL13" s="64" t="n"/>
      <c r="AM13" s="64" t="n"/>
      <c r="AN13" s="122" t="inlineStr">
        <is>
          <t>S1-2</t>
        </is>
      </c>
      <c r="AO13" s="64" t="n"/>
      <c r="AP13" s="64" t="n"/>
      <c r="AQ13" s="136" t="inlineStr">
        <is>
          <t>L3-2</t>
        </is>
      </c>
      <c r="AR13" s="64" t="n"/>
      <c r="AS13" s="64" t="n"/>
      <c r="AT13" s="64" t="n"/>
      <c r="AU13" s="64" t="n"/>
      <c r="AV13" s="64" t="n"/>
      <c r="AW13" s="298" t="inlineStr">
        <is>
          <t>S7-9</t>
        </is>
      </c>
      <c r="AX13" s="298" t="inlineStr">
        <is>
          <t>S1-4</t>
        </is>
      </c>
      <c r="AY13" s="298" t="n"/>
    </row>
    <row r="14" ht="18" customHeight="1" s="224">
      <c r="B14" s="14" t="inlineStr">
        <is>
          <t>S</t>
        </is>
      </c>
      <c r="C14" s="5" t="inlineStr">
        <is>
          <t>100 Breast</t>
        </is>
      </c>
      <c r="D14" s="126" t="n">
        <v>0.001230555555555555</v>
      </c>
      <c r="E14" s="45" t="n">
        <v>45787</v>
      </c>
      <c r="F14" s="211" t="inlineStr">
        <is>
          <t>100+</t>
        </is>
      </c>
      <c r="G14" s="149" t="n">
        <v>0.001105324074074074</v>
      </c>
      <c r="H14" s="23">
        <f>IFERROR(IF(G14-D14&gt;0, TEXT(ABS(G14-D14), "MM:SS.00"), "-" &amp; TEXT(ABS(G14-D14), "MM:SS.00")),"-")</f>
        <v/>
      </c>
      <c r="I14" s="174" t="n">
        <v>0.001184027777777778</v>
      </c>
      <c r="J14" s="177">
        <f>IFERROR(IF(I14-D14&gt;0, TEXT(ABS(I14-D14), "MM:SS.00"), "-" &amp; TEXT(ABS(I14-D14), "MM:SS.00")),"-")</f>
        <v/>
      </c>
      <c r="K14" s="169">
        <f>IF(OR(D14&lt;=G14,D31&lt;=G31),"Q",IF(OR(D14&lt;=I14,D31&lt;=I31),"C",""))</f>
        <v/>
      </c>
      <c r="L14" s="234" t="n">
        <v>25</v>
      </c>
      <c r="M14" s="152" t="n">
        <v>0.001023148148148148</v>
      </c>
      <c r="N14" s="34">
        <f>IFERROR(IF(M14-D14&gt;0, TEXT(ABS(M14-D14), "MM:SS.00"), "-" &amp; TEXT(ABS(M14-D14), "MM:SS.00")),"-")</f>
        <v/>
      </c>
      <c r="O14" s="180" t="n">
        <v>0.001076388888888889</v>
      </c>
      <c r="P14" s="153">
        <f>IFERROR(IF(O14-D14&gt;0, TEXT(ABS(O14-D14), "MM:SS.00"), "-" &amp; TEXT(ABS(O14-D14), "MM:SS.00")),"-")</f>
        <v/>
      </c>
      <c r="Q14" s="169">
        <f>IF(OR(D14&lt;=M14,D31&lt;=M31),"Q",IF(OR(D14&lt;=O14,D31&lt;=O31),"C",""))</f>
        <v/>
      </c>
      <c r="R14" s="230" t="n">
        <v>55</v>
      </c>
      <c r="S14" s="39" t="n"/>
      <c r="T14" s="39" t="n"/>
      <c r="U14" s="40" t="n"/>
      <c r="V14" s="61" t="n"/>
      <c r="W14" s="66" t="n"/>
      <c r="X14" s="102" t="n"/>
      <c r="Y14" s="102" t="n"/>
      <c r="Z14" s="95" t="n"/>
      <c r="AA14" s="102" t="n"/>
      <c r="AB14" s="102" t="n"/>
      <c r="AC14" s="64" t="n"/>
      <c r="AD14" s="64" t="inlineStr">
        <is>
          <t>S1-2</t>
        </is>
      </c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122" t="inlineStr">
        <is>
          <t>L2-1</t>
        </is>
      </c>
      <c r="AR14" s="64" t="n"/>
      <c r="AS14" s="64" t="n"/>
      <c r="AT14" s="64" t="n"/>
      <c r="AU14" s="64" t="n"/>
      <c r="AV14" s="64" t="n"/>
      <c r="AW14" s="298" t="n"/>
      <c r="AX14" s="298" t="n"/>
      <c r="AY14" s="298" t="n"/>
    </row>
    <row r="15" ht="18" customHeight="1" s="224">
      <c r="B15" s="14" t="inlineStr">
        <is>
          <t>S</t>
        </is>
      </c>
      <c r="C15" s="5" t="inlineStr">
        <is>
          <t>200 Breast</t>
        </is>
      </c>
      <c r="D15" s="126" t="inlineStr">
        <is>
          <t>-</t>
        </is>
      </c>
      <c r="E15" s="45" t="n"/>
      <c r="F15" s="211" t="n">
        <v>97</v>
      </c>
      <c r="G15" s="149" t="n">
        <v>0.002383101851851852</v>
      </c>
      <c r="H15" s="23">
        <f>IFERROR(IF(G15-D15&gt;0, TEXT(ABS(G15-D15), "MM:SS.00"), "-" &amp; TEXT(ABS(G15-D15), "MM:SS.00")),"-")</f>
        <v/>
      </c>
      <c r="I15" s="174" t="n">
        <v>0.002541666666666666</v>
      </c>
      <c r="J15" s="177">
        <f>IFERROR(IF(I15-D15&gt;0, TEXT(ABS(I15-D15), "MM:SS.00"), "-" &amp; TEXT(ABS(I15-D15), "MM:SS.00")),"-")</f>
        <v/>
      </c>
      <c r="K15" s="169">
        <f>IF(OR(D15&lt;=G15,D32&lt;=G32),"Q",IF(OR(D15&lt;=I15,D32&lt;=I32),"C",""))</f>
        <v/>
      </c>
      <c r="L15" s="234" t="n">
        <v>10</v>
      </c>
      <c r="M15" s="152" t="n">
        <v>0.0021875</v>
      </c>
      <c r="N15" s="34">
        <f>IFERROR(IF(M15-D15&gt;0, TEXT(ABS(M15-D15), "MM:SS.00"), "-" &amp; TEXT(ABS(M15-D15), "MM:SS.00")),"-")</f>
        <v/>
      </c>
      <c r="O15" s="180" t="n">
        <v>0.002300925925925926</v>
      </c>
      <c r="P15" s="153">
        <f>IFERROR(IF(O15-D15&gt;0, TEXT(ABS(O15-D15), "MM:SS.00"), "-" &amp; TEXT(ABS(O15-D15), "MM:SS.00")),"-")</f>
        <v/>
      </c>
      <c r="Q15" s="169">
        <f>IF(OR(D15&lt;=M15,D32&lt;=M32),"Q",IF(OR(D15&lt;=O15,D32&lt;=O32),"C",""))</f>
        <v/>
      </c>
      <c r="R15" s="230" t="n"/>
      <c r="S15" s="39" t="n"/>
      <c r="T15" s="39" t="n"/>
      <c r="U15" s="40" t="n"/>
      <c r="V15" s="61" t="n"/>
      <c r="W15" s="66" t="n"/>
      <c r="X15" s="102" t="n"/>
      <c r="Y15" s="102" t="inlineStr">
        <is>
          <t>S1-1</t>
        </is>
      </c>
      <c r="Z15" s="95" t="n"/>
      <c r="AA15" s="102" t="inlineStr">
        <is>
          <t>S3-4C</t>
        </is>
      </c>
      <c r="AB15" s="102" t="n"/>
      <c r="AC15" s="64" t="inlineStr">
        <is>
          <t>S4-1</t>
        </is>
      </c>
      <c r="AD15" s="64" t="n"/>
      <c r="AE15" s="64" t="n"/>
      <c r="AF15" s="64" t="inlineStr">
        <is>
          <t>S1-1</t>
        </is>
      </c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298" t="n"/>
      <c r="AX15" s="298" t="n"/>
      <c r="AY15" s="298" t="n"/>
    </row>
    <row r="16" ht="18" customHeight="1" s="224">
      <c r="A16" s="184" t="n"/>
      <c r="B16" s="14" t="inlineStr">
        <is>
          <t>S</t>
        </is>
      </c>
      <c r="C16" s="5" t="inlineStr">
        <is>
          <t>50 Fly</t>
        </is>
      </c>
      <c r="D16" s="126" t="n">
        <v>0.0004188657407407407</v>
      </c>
      <c r="E16" s="45" t="n">
        <v>45934</v>
      </c>
      <c r="F16" s="211" t="n">
        <v>63</v>
      </c>
      <c r="G16" s="149" t="n">
        <v>0.0004178240740740741</v>
      </c>
      <c r="H16" s="23">
        <f>IFERROR(IF(G16-D16&gt;0, TEXT(ABS(G16-D16), "MM:SS.00"), "-" &amp; TEXT(ABS(G16-D16), "MM:SS.00")),"-")</f>
        <v/>
      </c>
      <c r="I16" s="174" t="n">
        <v>0.0004664351851851851</v>
      </c>
      <c r="J16" s="177">
        <f>IFERROR(IF(I16-D16&gt;0, TEXT(ABS(I16-D16), "MM:SS.00"), "-" &amp; TEXT(ABS(I16-D16), "MM:SS.00")),"-")</f>
        <v/>
      </c>
      <c r="K16" s="169">
        <f>IF(OR(D16&lt;=G16,D33&lt;=G33),"Q",IF(OR(D16&lt;=I16,D33&lt;=I33),"C",""))</f>
        <v/>
      </c>
      <c r="L16" s="234" t="n">
        <v>6</v>
      </c>
      <c r="M16" s="152" t="n">
        <v>0.0003877314814814815</v>
      </c>
      <c r="N16" s="34">
        <f>IFERROR(IF(M16-D16&gt;0, TEXT(ABS(M16-D16), "MM:SS.00"), "-" &amp; TEXT(ABS(M16-D16), "MM:SS.00")),"-")</f>
        <v/>
      </c>
      <c r="O16" s="180" t="n">
        <v>0.0004085648148148148</v>
      </c>
      <c r="P16" s="153">
        <f>IFERROR(IF(O16-D16&gt;0, TEXT(ABS(O16-D16), "MM:SS.00"), "-" &amp; TEXT(ABS(O16-D16), "MM:SS.00")),"-")</f>
        <v/>
      </c>
      <c r="Q16" s="169">
        <f>IF(OR(D16&lt;=M16,D33&lt;=M33),"Q",IF(OR(D16&lt;=O16,D33&lt;=O33),"C",""))</f>
        <v/>
      </c>
      <c r="R16" s="230" t="n">
        <v>20</v>
      </c>
      <c r="S16" s="39" t="n"/>
      <c r="T16" s="39" t="n"/>
      <c r="U16" s="40" t="n"/>
      <c r="V16" s="61" t="n"/>
      <c r="W16" s="66" t="n"/>
      <c r="X16" s="102" t="n"/>
      <c r="Y16" s="102" t="inlineStr">
        <is>
          <t>S3-1</t>
        </is>
      </c>
      <c r="Z16" s="95" t="inlineStr">
        <is>
          <t>S1-1</t>
        </is>
      </c>
      <c r="AA16" s="102" t="inlineStr">
        <is>
          <t>S4-2</t>
        </is>
      </c>
      <c r="AB16" s="102" t="n"/>
      <c r="AC16" s="64" t="inlineStr">
        <is>
          <t>S3-2</t>
        </is>
      </c>
      <c r="AD16" s="64" t="n"/>
      <c r="AE16" s="64" t="n"/>
      <c r="AF16" s="64" t="inlineStr">
        <is>
          <t>S3-1</t>
        </is>
      </c>
      <c r="AG16" s="64" t="inlineStr">
        <is>
          <t>S1-1</t>
        </is>
      </c>
      <c r="AH16" s="64" t="inlineStr">
        <is>
          <t>S2-3</t>
        </is>
      </c>
      <c r="AI16" s="64" t="inlineStr">
        <is>
          <t>S3-1</t>
        </is>
      </c>
      <c r="AJ16" s="64" t="inlineStr">
        <is>
          <t>S1-2</t>
        </is>
      </c>
      <c r="AK16" s="64" t="inlineStr">
        <is>
          <t>S1</t>
        </is>
      </c>
      <c r="AL16" s="64" t="inlineStr">
        <is>
          <t>L4-1</t>
        </is>
      </c>
      <c r="AM16" s="64" t="n"/>
      <c r="AN16" s="64" t="inlineStr">
        <is>
          <t>S3-1</t>
        </is>
      </c>
      <c r="AO16" s="64" t="n"/>
      <c r="AP16" s="64" t="inlineStr">
        <is>
          <t>L1-1</t>
        </is>
      </c>
      <c r="AQ16" s="64" t="inlineStr">
        <is>
          <t>L5-2</t>
        </is>
      </c>
      <c r="AR16" s="64" t="inlineStr">
        <is>
          <t>D2-L2-2</t>
        </is>
      </c>
      <c r="AS16" s="64" t="n"/>
      <c r="AT16" s="64" t="n"/>
      <c r="AU16" s="64" t="n"/>
      <c r="AV16" s="64" t="n"/>
      <c r="AW16" s="298" t="inlineStr">
        <is>
          <t>S3-4</t>
        </is>
      </c>
      <c r="AX16" s="298" t="inlineStr">
        <is>
          <t>S1-2</t>
        </is>
      </c>
      <c r="AY16" s="298" t="n"/>
    </row>
    <row r="17" ht="18" customHeight="1" s="224">
      <c r="A17" s="185" t="n"/>
      <c r="B17" s="14" t="inlineStr">
        <is>
          <t>S</t>
        </is>
      </c>
      <c r="C17" s="5" t="inlineStr">
        <is>
          <t>100 Fly</t>
        </is>
      </c>
      <c r="D17" s="126" t="n">
        <v>0.0009641203703703704</v>
      </c>
      <c r="E17" s="45" t="n">
        <v>46082</v>
      </c>
      <c r="F17" s="211" t="n">
        <v>65</v>
      </c>
      <c r="G17" s="149" t="n">
        <v>0.001002314814814815</v>
      </c>
      <c r="H17" s="23">
        <f>IFERROR(IF(G17-D17&gt;0, TEXT(ABS(G17-D17), "MM:SS.00"), "-" &amp; TEXT(ABS(G17-D17), "MM:SS.00")),"-")</f>
        <v/>
      </c>
      <c r="I17" s="174" t="n">
        <v>0.001152777777777778</v>
      </c>
      <c r="J17" s="177">
        <f>IFERROR(IF(I17-D17&gt;0, TEXT(ABS(I17-D17), "MM:SS.00"), "-" &amp; TEXT(ABS(I17-D17), "MM:SS.00")),"-")</f>
        <v/>
      </c>
      <c r="K17" s="169">
        <f>IF(OR(D17&lt;=G17,D34&lt;=G34),"Q",IF(OR(D17&lt;=I17,D34&lt;=I34),"C",""))</f>
        <v/>
      </c>
      <c r="L17" s="234" t="n">
        <v>15</v>
      </c>
      <c r="M17" s="152" t="n">
        <v>0.0008958333333333334</v>
      </c>
      <c r="N17" s="34">
        <f>IFERROR(IF(M17-D17&gt;0, TEXT(ABS(M17-D17), "MM:SS.00"), "-" &amp; TEXT(ABS(M17-D17), "MM:SS.00")),"-")</f>
        <v/>
      </c>
      <c r="O17" s="180" t="n">
        <v>0.0009421296296296297</v>
      </c>
      <c r="P17" s="153">
        <f>IFERROR(IF(O17-D17&gt;0, TEXT(ABS(O17-D17), "MM:SS.00"), "-" &amp; TEXT(ABS(O17-D17), "MM:SS.00")),"-")</f>
        <v/>
      </c>
      <c r="Q17" s="169">
        <f>IF(OR(D17&lt;=M17,D34&lt;=M34),"Q",IF(OR(D17&lt;=O17,D34&lt;=O34),"C",""))</f>
        <v/>
      </c>
      <c r="R17" s="230" t="n"/>
      <c r="S17" s="39" t="n"/>
      <c r="T17" s="39" t="n"/>
      <c r="U17" s="40" t="n"/>
      <c r="V17" s="61" t="n"/>
      <c r="W17" s="66" t="n"/>
      <c r="X17" s="102" t="n"/>
      <c r="Y17" s="102" t="n"/>
      <c r="Z17" s="95" t="n"/>
      <c r="AA17" s="102" t="n"/>
      <c r="AB17" s="102" t="inlineStr">
        <is>
          <t>S8-3</t>
        </is>
      </c>
      <c r="AC17" s="64" t="inlineStr">
        <is>
          <t>S1-2</t>
        </is>
      </c>
      <c r="AD17" s="64" t="n"/>
      <c r="AE17" s="64" t="inlineStr">
        <is>
          <t>S2-4</t>
        </is>
      </c>
      <c r="AF17" s="64" t="n"/>
      <c r="AG17" s="64" t="inlineStr">
        <is>
          <t>S1-3</t>
        </is>
      </c>
      <c r="AH17" s="64" t="n"/>
      <c r="AI17" s="64" t="n"/>
      <c r="AJ17" s="64" t="inlineStr">
        <is>
          <t>S2-1</t>
        </is>
      </c>
      <c r="AK17" s="64" t="n"/>
      <c r="AL17" s="64" t="n"/>
      <c r="AM17" s="64" t="inlineStr">
        <is>
          <t>L8-1</t>
        </is>
      </c>
      <c r="AN17" s="64" t="inlineStr">
        <is>
          <t>S3-3</t>
        </is>
      </c>
      <c r="AO17" s="64" t="n"/>
      <c r="AP17" s="64" t="inlineStr">
        <is>
          <t>L2-3</t>
        </is>
      </c>
      <c r="AQ17" s="64" t="inlineStr">
        <is>
          <t>L3-3</t>
        </is>
      </c>
      <c r="AR17" s="64" t="inlineStr">
        <is>
          <t>D2-L3-1</t>
        </is>
      </c>
      <c r="AS17" s="64" t="n"/>
      <c r="AT17" s="64" t="inlineStr">
        <is>
          <t>L2-1</t>
        </is>
      </c>
      <c r="AU17" s="64" t="n"/>
      <c r="AV17" s="64" t="n"/>
      <c r="AW17" s="298" t="n"/>
      <c r="AX17" s="298" t="n"/>
      <c r="AY17" s="298" t="n"/>
    </row>
    <row r="18" ht="18" customHeight="1" s="224">
      <c r="A18" s="185" t="n"/>
      <c r="B18" s="14" t="inlineStr">
        <is>
          <t>S</t>
        </is>
      </c>
      <c r="C18" s="5" t="inlineStr">
        <is>
          <t>200 Fly</t>
        </is>
      </c>
      <c r="D18" s="126" t="n">
        <v>0.002209953703703704</v>
      </c>
      <c r="E18" s="45" t="n">
        <v>46081</v>
      </c>
      <c r="F18" s="211" t="n"/>
      <c r="G18" s="149" t="n">
        <v>0.002603009259259259</v>
      </c>
      <c r="H18" s="23">
        <f>IFERROR(IF(G18-D18&gt;0, TEXT(ABS(G18-D18), "MM:SS.00"), "-" &amp; TEXT(ABS(G18-D18), "MM:SS.00")),"-")</f>
        <v/>
      </c>
      <c r="I18" s="174" t="n">
        <v>0.0030625</v>
      </c>
      <c r="J18" s="177">
        <f>IFERROR(IF(I18-D18&gt;0, TEXT(ABS(I18-D18), "MM:SS.00"), "-" &amp; TEXT(ABS(I18-D18), "MM:SS.00")),"-")</f>
        <v/>
      </c>
      <c r="K18" s="169">
        <f>IF(OR(D18&lt;=G18,D35&lt;=G35),"Q",IF(OR(D18&lt;=I18,D35&lt;=I35),"C",""))</f>
        <v/>
      </c>
      <c r="L18" s="234" t="n"/>
      <c r="M18" s="152" t="n">
        <v>0.002099537037037037</v>
      </c>
      <c r="N18" s="34">
        <f>IFERROR(IF(M18-D18&gt;0, TEXT(ABS(M18-D18), "MM:SS.00"), "-" &amp; TEXT(ABS(M18-D18), "MM:SS.00")),"-")</f>
        <v/>
      </c>
      <c r="O18" s="180" t="n">
        <v>0.002206018518518519</v>
      </c>
      <c r="P18" s="153">
        <f>IFERROR(IF(O18-D18&gt;0, TEXT(ABS(O18-D18), "MM:SS.00"), "-" &amp; TEXT(ABS(O18-D18), "MM:SS.00")),"-")</f>
        <v/>
      </c>
      <c r="Q18" s="169">
        <f>IF(OR(D18&lt;=M18,D35&lt;=M35),"Q",IF(OR(D18&lt;=O18,D35&lt;=O35),"C",""))</f>
        <v/>
      </c>
      <c r="R18" s="230" t="n"/>
      <c r="S18" s="39" t="n"/>
      <c r="T18" s="39" t="n"/>
      <c r="U18" s="40" t="n"/>
      <c r="V18" s="61" t="n"/>
      <c r="W18" s="66" t="n"/>
      <c r="X18" s="102" t="n"/>
      <c r="Y18" s="102" t="n"/>
      <c r="Z18" s="95" t="n"/>
      <c r="AA18" s="102" t="n"/>
      <c r="AB18" s="102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inlineStr">
        <is>
          <t>S2-2</t>
        </is>
      </c>
      <c r="AO18" s="64" t="n"/>
      <c r="AP18" s="64" t="n"/>
      <c r="AQ18" s="64" t="inlineStr">
        <is>
          <t>X</t>
        </is>
      </c>
      <c r="AR18" s="64" t="inlineStr">
        <is>
          <t>D1-L2-2</t>
        </is>
      </c>
      <c r="AS18" s="64" t="n"/>
      <c r="AT18" s="64" t="inlineStr">
        <is>
          <t>L1-2</t>
        </is>
      </c>
      <c r="AU18" s="64" t="n"/>
      <c r="AV18" s="64" t="n"/>
      <c r="AW18" s="298" t="n"/>
      <c r="AX18" s="298" t="n"/>
      <c r="AY18" s="298" t="n"/>
    </row>
    <row r="19" ht="18" customHeight="1" s="224">
      <c r="A19" s="185" t="n"/>
      <c r="B19" s="14" t="inlineStr">
        <is>
          <t>S</t>
        </is>
      </c>
      <c r="C19" s="5" t="inlineStr">
        <is>
          <t>100 IM</t>
        </is>
      </c>
      <c r="D19" s="126" t="n">
        <v>0.001033680555555555</v>
      </c>
      <c r="E19" s="45" t="n">
        <v>46180</v>
      </c>
      <c r="F19" s="211" t="inlineStr">
        <is>
          <t>100+</t>
        </is>
      </c>
      <c r="G19" s="154" t="inlineStr">
        <is>
          <t>-</t>
        </is>
      </c>
      <c r="H19" s="23">
        <f>IFERROR(IF(G19-D19&gt;0, TEXT(ABS(G19-D19), "MM:SS.00"), "-" &amp; TEXT(ABS(G19-D19), "MM:SS.00")),"-")</f>
        <v/>
      </c>
      <c r="I19" s="172" t="n"/>
      <c r="J19" s="177" t="n"/>
      <c r="K19" s="169" t="n"/>
      <c r="L19" s="234" t="n">
        <v>9</v>
      </c>
      <c r="M19" s="155" t="n"/>
      <c r="N19" s="34" t="n"/>
      <c r="O19" s="180" t="n"/>
      <c r="P19" s="153" t="n"/>
      <c r="Q19" s="169" t="n"/>
      <c r="R19" s="230" t="n"/>
      <c r="S19" s="39" t="n"/>
      <c r="T19" s="39" t="n"/>
      <c r="U19" s="40" t="n"/>
      <c r="V19" s="61" t="n"/>
      <c r="W19" s="67" t="n"/>
      <c r="X19" s="102" t="n"/>
      <c r="Y19" s="102" t="n"/>
      <c r="Z19" s="95" t="n"/>
      <c r="AA19" s="102" t="n"/>
      <c r="AB19" s="102" t="n"/>
      <c r="AC19" s="64" t="n"/>
      <c r="AD19" s="64" t="inlineStr">
        <is>
          <t>S1-3</t>
        </is>
      </c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298" t="inlineStr">
        <is>
          <t>S1-9</t>
        </is>
      </c>
      <c r="AX19" s="298" t="inlineStr">
        <is>
          <t>S1-1</t>
        </is>
      </c>
      <c r="AY19" s="298" t="n"/>
    </row>
    <row r="20" ht="18" customHeight="1" s="224" thickBot="1">
      <c r="A20" s="184" t="n"/>
      <c r="B20" s="68" t="inlineStr">
        <is>
          <t>S</t>
        </is>
      </c>
      <c r="C20" s="7" t="inlineStr">
        <is>
          <t>200 IM</t>
        </is>
      </c>
      <c r="D20" s="127" t="n">
        <v>0.002119097222222222</v>
      </c>
      <c r="E20" s="45" t="n">
        <v>45991</v>
      </c>
      <c r="F20" s="212" t="inlineStr">
        <is>
          <t>100+</t>
        </is>
      </c>
      <c r="G20" s="159" t="n">
        <v>0.002076388888888889</v>
      </c>
      <c r="H20" s="26">
        <f>IFERROR(IF(G20-D20&gt;0, TEXT(ABS(G20-D20), "MM:SS.00"), "-" &amp; TEXT(ABS(G20-D20), "MM:SS.00")),"-")</f>
        <v/>
      </c>
      <c r="I20" s="175" t="n">
        <v>0.002210648148148148</v>
      </c>
      <c r="J20" s="178">
        <f>IFERROR(IF(I20-D20&gt;0, TEXT(ABS(I20-D20), "MM:SS.00"), "-" &amp; TEXT(ABS(I20-D20), "MM:SS.00")),"-")</f>
        <v/>
      </c>
      <c r="K20" s="170">
        <f>IF(OR(D20&lt;=G20,D37&lt;=G37),"Q",IF(OR(D20&lt;=I20,D37&lt;=I37),"C",""))</f>
        <v/>
      </c>
      <c r="L20" s="235" t="n">
        <v>9</v>
      </c>
      <c r="M20" s="156" t="n">
        <v>0.001878472222222222</v>
      </c>
      <c r="N20" s="37">
        <f>IFERROR(IF(M20-D20&gt;0, TEXT(ABS(M20-D20), "MM:SS.00"), "-" &amp; TEXT(ABS(M20-D20), "MM:SS.00")),"-")</f>
        <v/>
      </c>
      <c r="O20" s="181" t="n">
        <v>0.001975694444444444</v>
      </c>
      <c r="P20" s="157">
        <f>IFERROR(IF(O20-D20&gt;0, TEXT(ABS(O20-D20), "MM:SS.00"), "-" &amp; TEXT(ABS(O20-D20), "MM:SS.00")),"-")</f>
        <v/>
      </c>
      <c r="Q20" s="170">
        <f>IF(OR(D20&lt;=M20,D37&lt;=M37),"Q",IF(OR(D20&lt;=O20,D37&lt;=O37),"C",""))</f>
        <v/>
      </c>
      <c r="R20" s="231" t="n">
        <v>29</v>
      </c>
      <c r="S20" s="41" t="n"/>
      <c r="T20" s="41" t="n"/>
      <c r="U20" s="88" t="n"/>
      <c r="V20" s="62" t="n"/>
      <c r="W20" s="196" t="n"/>
      <c r="X20" s="105" t="inlineStr">
        <is>
          <t>S1-2</t>
        </is>
      </c>
      <c r="Y20" s="105" t="inlineStr">
        <is>
          <t>S3-3</t>
        </is>
      </c>
      <c r="Z20" s="96" t="n"/>
      <c r="AA20" s="105" t="inlineStr">
        <is>
          <t>S1-1</t>
        </is>
      </c>
      <c r="AB20" s="105" t="n"/>
      <c r="AC20" s="65" t="inlineStr">
        <is>
          <t>S3-3</t>
        </is>
      </c>
      <c r="AD20" s="65" t="n"/>
      <c r="AE20" s="65" t="inlineStr">
        <is>
          <t>S2-1</t>
        </is>
      </c>
      <c r="AF20" s="65" t="inlineStr">
        <is>
          <t>S3-3</t>
        </is>
      </c>
      <c r="AG20" s="65" t="inlineStr">
        <is>
          <t>S3-2</t>
        </is>
      </c>
      <c r="AH20" s="65" t="inlineStr">
        <is>
          <t>S2-1</t>
        </is>
      </c>
      <c r="AI20" s="65" t="inlineStr">
        <is>
          <t>S3-2</t>
        </is>
      </c>
      <c r="AJ20" s="65" t="n"/>
      <c r="AK20" s="65" t="n"/>
      <c r="AL20" s="65" t="n"/>
      <c r="AM20" s="65" t="n"/>
      <c r="AN20" s="65" t="n"/>
      <c r="AO20" s="65" t="n"/>
      <c r="AP20" s="197" t="inlineStr">
        <is>
          <t>L2-1</t>
        </is>
      </c>
      <c r="AQ20" s="197" t="inlineStr">
        <is>
          <t>L3-1</t>
        </is>
      </c>
      <c r="AR20" s="65" t="n"/>
      <c r="AS20" s="65" t="n"/>
      <c r="AT20" s="65" t="n"/>
      <c r="AU20" s="65" t="n"/>
      <c r="AV20" s="65" t="n"/>
      <c r="AW20" s="298" t="n"/>
      <c r="AX20" s="298" t="n"/>
      <c r="AY20" s="298" t="n"/>
    </row>
    <row r="21" ht="18" customHeight="1" s="224">
      <c r="A21" s="186" t="n"/>
      <c r="B21" s="13" t="inlineStr">
        <is>
          <t>L</t>
        </is>
      </c>
      <c r="C21" s="6" t="inlineStr">
        <is>
          <t>50 Free</t>
        </is>
      </c>
      <c r="D21" s="125" t="n">
        <v>0.0004030092592592593</v>
      </c>
      <c r="E21" s="44" t="n">
        <v>46089</v>
      </c>
      <c r="F21" s="213" t="n">
        <v>66</v>
      </c>
      <c r="G21" s="158" t="n">
        <v>0.0003809027777777777</v>
      </c>
      <c r="H21" s="21">
        <f>IFERROR(IF(G21-D21&gt;0, TEXT(ABS(G21-D21), "MM:SS.00"), "-" &amp; TEXT(ABS(G21-D21), "MM:SS.00")),"-")</f>
        <v/>
      </c>
      <c r="I21" s="173" t="n">
        <v>0.0004032407407407408</v>
      </c>
      <c r="J21" s="176">
        <f>IFERROR(IF(I21-D21&gt;0, TEXT(ABS(I21-D21), "MM:SS.00"), "-" &amp; TEXT(ABS(I21-D21), "MM:SS.00")),"-")</f>
        <v/>
      </c>
      <c r="K21" s="168">
        <f>IF(OR(D4&lt;=G4,D21&lt;=G21),"Q",IF(OR(D4&lt;=I4,D21&lt;=I21),"C",""))</f>
        <v/>
      </c>
      <c r="L21" s="233" t="n">
        <v>5</v>
      </c>
      <c r="M21" s="150" t="n">
        <v>0.0003538194444444445</v>
      </c>
      <c r="N21" s="80">
        <f>IFERROR(IF(M21-D21&gt;0, TEXT(ABS(M21-D21), "MM:SS.00"), "-" &amp; TEXT(ABS(M21-D21), "MM:SS.00")),"-")</f>
        <v/>
      </c>
      <c r="O21" s="179" t="n">
        <v>0.0003715277777777778</v>
      </c>
      <c r="P21" s="183">
        <f>IFERROR(IF(O21-D21&gt;0, TEXT(ABS(O21-D21), "MM:SS.00"), "-" &amp; TEXT(ABS(O21-D21), "MM:SS.00")),"-")</f>
        <v/>
      </c>
      <c r="Q21" s="168">
        <f>IF(OR(D4&lt;=M4,D21&lt;=M21),"Q",IF(OR(D4&lt;=O4,D21&lt;=O21),"C",""))</f>
        <v/>
      </c>
      <c r="R21" s="229" t="n">
        <v>10</v>
      </c>
      <c r="S21" s="190" t="inlineStr">
        <is>
          <t>X (D1-S1)</t>
        </is>
      </c>
      <c r="T21" s="190" t="n"/>
      <c r="U21" s="191" t="n"/>
      <c r="V21" s="192" t="n">
        <v>3</v>
      </c>
      <c r="W21" s="192" t="n">
        <v>43</v>
      </c>
      <c r="X21" s="101" t="n"/>
      <c r="Y21" s="101" t="n"/>
      <c r="Z21" s="99" t="n"/>
      <c r="AA21" s="101" t="inlineStr">
        <is>
          <t>S2-3C</t>
        </is>
      </c>
      <c r="AB21" s="99" t="n"/>
      <c r="AC21" s="193" t="inlineStr">
        <is>
          <t>S1-3</t>
        </is>
      </c>
      <c r="AD21" s="193" t="n"/>
      <c r="AE21" s="193" t="n"/>
      <c r="AF21" s="193" t="inlineStr">
        <is>
          <t>S2-1</t>
        </is>
      </c>
      <c r="AG21" s="193" t="inlineStr">
        <is>
          <t>S4-3</t>
        </is>
      </c>
      <c r="AH21" s="193" t="n"/>
      <c r="AI21" s="193" t="n"/>
      <c r="AJ21" s="193" t="n"/>
      <c r="AK21" s="193" t="n"/>
      <c r="AL21" s="193" t="n"/>
      <c r="AM21" s="193" t="n"/>
      <c r="AN21" s="193" t="n"/>
      <c r="AO21" s="193" t="n"/>
      <c r="AP21" s="193" t="inlineStr">
        <is>
          <t>L1-3</t>
        </is>
      </c>
      <c r="AQ21" s="194" t="inlineStr">
        <is>
          <t>L6-2</t>
        </is>
      </c>
      <c r="AR21" s="193" t="n"/>
      <c r="AS21" s="193" t="inlineStr">
        <is>
          <t>D</t>
        </is>
      </c>
      <c r="AT21" s="193" t="n"/>
      <c r="AU21" s="193" t="n"/>
      <c r="AV21" s="193" t="n"/>
      <c r="AW21" s="298" t="n"/>
      <c r="AX21" s="298" t="inlineStr">
        <is>
          <t>S1-3</t>
        </is>
      </c>
      <c r="AY21" s="298" t="inlineStr">
        <is>
          <t>D1-S2-2</t>
        </is>
      </c>
    </row>
    <row r="22" ht="18" customHeight="1" s="224">
      <c r="B22" s="14" t="inlineStr">
        <is>
          <t>L</t>
        </is>
      </c>
      <c r="C22" s="5" t="inlineStr">
        <is>
          <t>100 Free</t>
        </is>
      </c>
      <c r="D22" s="126" t="n">
        <v>0.0009133101851851852</v>
      </c>
      <c r="E22" s="45" t="n">
        <v>45830</v>
      </c>
      <c r="F22" s="211" t="n">
        <v>67</v>
      </c>
      <c r="G22" s="149" t="n">
        <v>0.0008460648148148148</v>
      </c>
      <c r="H22" s="23">
        <f>IFERROR(IF(G22-D22&gt;0, TEXT(ABS(G22-D22), "MM:SS.00"), "-" &amp; TEXT(ABS(G22-D22), "MM:SS.00")),"-")</f>
        <v/>
      </c>
      <c r="I22" s="174" t="n">
        <v>0.0009155092592592591</v>
      </c>
      <c r="J22" s="177">
        <f>IFERROR(IF(I22-D22&gt;0, TEXT(ABS(I22-D22), "MM:SS.00"), "-" &amp; TEXT(ABS(I22-D22), "MM:SS.00")),"-")</f>
        <v/>
      </c>
      <c r="K22" s="169">
        <f>IF(OR(D5&lt;=G5,D22&lt;=G22),"Q",IF(OR(D5&lt;=I5,D22&lt;=I22),"C",""))</f>
        <v/>
      </c>
      <c r="L22" s="234" t="n">
        <v>4</v>
      </c>
      <c r="M22" s="152" t="n">
        <v>0.0007826388888888889</v>
      </c>
      <c r="N22" s="34">
        <f>IFERROR(IF(M22-D22&gt;0, TEXT(ABS(M22-D22), "MM:SS.00"), "-" &amp; TEXT(ABS(M22-D22), "MM:SS.00")),"-")</f>
        <v/>
      </c>
      <c r="O22" s="180" t="n">
        <v>0.0008217592592592593</v>
      </c>
      <c r="P22" s="153">
        <f>IFERROR(IF(O22-D22&gt;0, TEXT(ABS(O22-D22), "MM:SS.00"), "-" &amp; TEXT(ABS(O22-D22), "MM:SS.00")),"-")</f>
        <v/>
      </c>
      <c r="Q22" s="169">
        <f>IF(OR(D5&lt;=M5,D22&lt;=M22),"Q",IF(OR(D5&lt;=O5,D22&lt;=O22),"C",""))</f>
        <v/>
      </c>
      <c r="R22" s="230" t="n">
        <v>6</v>
      </c>
      <c r="S22" s="39" t="inlineStr">
        <is>
          <t>X (D2-S4)</t>
        </is>
      </c>
      <c r="T22" s="39" t="n"/>
      <c r="U22" s="40" t="n"/>
      <c r="V22" s="61" t="n"/>
      <c r="W22" s="61" t="n">
        <v>42</v>
      </c>
      <c r="X22" s="102" t="n"/>
      <c r="Y22" s="102" t="n"/>
      <c r="Z22" s="95" t="n"/>
      <c r="AA22" s="102" t="n"/>
      <c r="AB22" s="95" t="inlineStr">
        <is>
          <t>S5-3C</t>
        </is>
      </c>
      <c r="AC22" s="64" t="inlineStr">
        <is>
          <t>S3-1</t>
        </is>
      </c>
      <c r="AD22" s="64" t="n"/>
      <c r="AE22" s="64" t="inlineStr">
        <is>
          <t>S2-2</t>
        </is>
      </c>
      <c r="AF22" s="64" t="inlineStr">
        <is>
          <t>S1-3</t>
        </is>
      </c>
      <c r="AG22" s="64" t="inlineStr">
        <is>
          <t>S4-2</t>
        </is>
      </c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inlineStr">
        <is>
          <t>L2-3</t>
        </is>
      </c>
      <c r="AR22" s="64" t="n"/>
      <c r="AS22" s="64" t="n"/>
      <c r="AT22" s="64" t="n"/>
      <c r="AU22" s="64" t="n"/>
      <c r="AV22" s="64" t="n"/>
      <c r="AW22" s="298" t="n"/>
      <c r="AX22" s="298" t="n"/>
      <c r="AY22" s="298" t="n"/>
    </row>
    <row r="23" ht="18" customHeight="1" s="224">
      <c r="B23" s="14" t="inlineStr">
        <is>
          <t>L</t>
        </is>
      </c>
      <c r="C23" s="5" t="inlineStr">
        <is>
          <t>200 Free</t>
        </is>
      </c>
      <c r="D23" s="126" t="n">
        <v>0.001982060185185185</v>
      </c>
      <c r="E23" s="45" t="n">
        <v>46068</v>
      </c>
      <c r="F23" s="211" t="n">
        <v>31</v>
      </c>
      <c r="G23" s="149" t="n">
        <v>0.001855324074074074</v>
      </c>
      <c r="H23" s="23">
        <f>IFERROR(IF(G23-D23&gt;0, TEXT(ABS(G23-D23), "MM:SS.00"), "-" &amp; TEXT(ABS(G23-D23), "MM:SS.00")),"-")</f>
        <v/>
      </c>
      <c r="I23" s="174" t="n">
        <v>0.001997685185185185</v>
      </c>
      <c r="J23" s="177">
        <f>IFERROR(IF(I23-D23&gt;0, TEXT(ABS(I23-D23), "MM:SS.00"), "-" &amp; TEXT(ABS(I23-D23), "MM:SS.00")),"-")</f>
        <v/>
      </c>
      <c r="K23" s="169">
        <f>IF(OR(D6&lt;=G6,D23&lt;=G23),"Q",IF(OR(D6&lt;=I6,D23&lt;=I23),"C",""))</f>
        <v/>
      </c>
      <c r="L23" s="234" t="n">
        <v>4</v>
      </c>
      <c r="M23" s="152" t="n">
        <v>0.001670023148148148</v>
      </c>
      <c r="N23" s="34">
        <f>IFERROR(IF(M23-D23&gt;0, TEXT(ABS(M23-D23), "MM:SS.00"), "-" &amp; TEXT(ABS(M23-D23), "MM:SS.00")),"-")</f>
        <v/>
      </c>
      <c r="O23" s="180" t="n">
        <v>0.001753472222222222</v>
      </c>
      <c r="P23" s="153">
        <f>IFERROR(IF(O23-D23&gt;0, TEXT(ABS(O23-D23), "MM:SS.00"), "-" &amp; TEXT(ABS(O23-D23), "MM:SS.00")),"-")</f>
        <v/>
      </c>
      <c r="Q23" s="169">
        <f>IF(OR(D6&lt;=M6,D23&lt;=M23),"Q",IF(OR(D6&lt;=O6,D23&lt;=O23),"C",""))</f>
        <v/>
      </c>
      <c r="R23" s="230" t="n">
        <v>7</v>
      </c>
      <c r="S23" s="39" t="n"/>
      <c r="T23" s="39" t="n"/>
      <c r="U23" s="40" t="n"/>
      <c r="V23" s="61" t="n">
        <v>1</v>
      </c>
      <c r="W23" s="61" t="n">
        <v>41</v>
      </c>
      <c r="X23" s="102" t="n"/>
      <c r="Y23" s="102" t="n"/>
      <c r="Z23" s="95" t="n"/>
      <c r="AA23" s="102" t="n"/>
      <c r="AB23" s="95" t="n"/>
      <c r="AC23" s="64" t="inlineStr">
        <is>
          <t>S2-1</t>
        </is>
      </c>
      <c r="AD23" s="64" t="n"/>
      <c r="AE23" s="64" t="n"/>
      <c r="AF23" s="64" t="inlineStr">
        <is>
          <t>S4-2</t>
        </is>
      </c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inlineStr">
        <is>
          <t>L5-3</t>
        </is>
      </c>
      <c r="AR23" s="64" t="n"/>
      <c r="AS23" s="64" t="n"/>
      <c r="AT23" s="64" t="n"/>
      <c r="AU23" s="64" t="n"/>
      <c r="AV23" s="64" t="n"/>
      <c r="AW23" s="298" t="n"/>
      <c r="AX23" s="298" t="n"/>
      <c r="AY23" s="298" t="n"/>
    </row>
    <row r="24" ht="18" customHeight="1" s="224">
      <c r="B24" s="14" t="inlineStr">
        <is>
          <t>L</t>
        </is>
      </c>
      <c r="C24" s="5" t="inlineStr">
        <is>
          <t>400 Free</t>
        </is>
      </c>
      <c r="D24" s="126" t="n">
        <v>0.004314004629629629</v>
      </c>
      <c r="E24" s="45" t="n">
        <v>45739</v>
      </c>
      <c r="F24" s="211" t="n"/>
      <c r="G24" s="149" t="n">
        <v>0.003935185185185185</v>
      </c>
      <c r="H24" s="23">
        <f>IFERROR(IF(G24-D24&gt;0, TEXT(ABS(G24-D24), "MM:SS.00"), "-" &amp; TEXT(ABS(G24-D24), "MM:SS.00")),"-")</f>
        <v/>
      </c>
      <c r="I24" s="174" t="n">
        <v>0.003966435185185185</v>
      </c>
      <c r="J24" s="177">
        <f>IFERROR(IF(I24-D24&gt;0, TEXT(ABS(I24-D24), "MM:SS.00"), "-" &amp; TEXT(ABS(I24-D24), "MM:SS.00")),"-")</f>
        <v/>
      </c>
      <c r="K24" s="169">
        <f>IF(OR(D7&lt;=G7,D24&lt;=G24),"Q",IF(OR(D7&lt;=I7,D24&lt;=I24),"C",""))</f>
        <v/>
      </c>
      <c r="L24" s="234" t="n"/>
      <c r="M24" s="152" t="n">
        <v>0.003540509259259259</v>
      </c>
      <c r="N24" s="34">
        <f>IFERROR(IF(M24-D24&gt;0, TEXT(ABS(M24-D24), "MM:SS.00"), "-" &amp; TEXT(ABS(M24-D24), "MM:SS.00")),"-")</f>
        <v/>
      </c>
      <c r="O24" s="180" t="n">
        <v>0.003717592592592593</v>
      </c>
      <c r="P24" s="153">
        <f>IFERROR(IF(O24-D24&gt;0, TEXT(ABS(O24-D24), "MM:SS.00"), "-" &amp; TEXT(ABS(O24-D24), "MM:SS.00")),"-")</f>
        <v/>
      </c>
      <c r="Q24" s="169">
        <f>IF(OR(D7&lt;=M7,D24&lt;=M24),"Q",IF(OR(D7&lt;=O7,D24&lt;=O24),"C",""))</f>
        <v/>
      </c>
      <c r="R24" s="230" t="inlineStr">
        <is>
          <t>-</t>
        </is>
      </c>
      <c r="S24" s="39" t="n"/>
      <c r="T24" s="39" t="n"/>
      <c r="U24" s="40" t="n"/>
      <c r="V24" s="61" t="n"/>
      <c r="W24" s="61" t="n"/>
      <c r="X24" s="102" t="n"/>
      <c r="Y24" s="102" t="n"/>
      <c r="Z24" s="95" t="n"/>
      <c r="AA24" s="102" t="n"/>
      <c r="AB24" s="95" t="n"/>
      <c r="AC24" s="64" t="inlineStr">
        <is>
          <t>S4-1</t>
        </is>
      </c>
      <c r="AD24" s="64" t="n"/>
      <c r="AE24" s="64" t="n"/>
      <c r="AF24" s="64" t="inlineStr">
        <is>
          <t>S1-1</t>
        </is>
      </c>
      <c r="AG24" s="64" t="n"/>
      <c r="AH24" s="64" t="n"/>
      <c r="AI24" s="64" t="n"/>
      <c r="AJ24" s="64" t="n"/>
      <c r="AK24" s="64" t="n"/>
      <c r="AL24" s="64" t="n"/>
      <c r="AM24" s="64" t="n"/>
      <c r="AN24" s="64" t="n"/>
      <c r="AO24" s="64" t="n"/>
      <c r="AP24" s="64" t="n"/>
      <c r="AQ24" s="64" t="n"/>
      <c r="AR24" s="64" t="n"/>
      <c r="AS24" s="64" t="n"/>
      <c r="AT24" s="64" t="n"/>
      <c r="AU24" s="64" t="n"/>
      <c r="AV24" s="64" t="n"/>
      <c r="AW24" s="298" t="n"/>
      <c r="AX24" s="298" t="n"/>
      <c r="AY24" s="298" t="inlineStr">
        <is>
          <t>D2-S4-1</t>
        </is>
      </c>
    </row>
    <row r="25" ht="18" customHeight="1" s="224">
      <c r="B25" s="14" t="inlineStr">
        <is>
          <t>L</t>
        </is>
      </c>
      <c r="C25" s="5" t="inlineStr">
        <is>
          <t>800 Free</t>
        </is>
      </c>
      <c r="D25" s="126" t="n">
        <v>0.008239120370370371</v>
      </c>
      <c r="E25" s="45" t="n">
        <v>46060</v>
      </c>
      <c r="F25" s="211" t="n">
        <v>97</v>
      </c>
      <c r="G25" s="149" t="n">
        <v>0.008711805555555556</v>
      </c>
      <c r="H25" s="23">
        <f>IFERROR(IF(G25-D25&gt;0, TEXT(ABS(G25-D25), "MM:SS.00"), "-" &amp; TEXT(ABS(G25-D25), "MM:SS.00")),"-")</f>
        <v/>
      </c>
      <c r="I25" s="174" t="n">
        <v>0.009234953703703704</v>
      </c>
      <c r="J25" s="177">
        <f>IFERROR(IF(I25-D25&gt;0, TEXT(ABS(I25-D25), "MM:SS.00"), "-" &amp; TEXT(ABS(I25-D25), "MM:SS.00")),"-")</f>
        <v/>
      </c>
      <c r="K25" s="169">
        <f>IF(OR(D8&lt;=G8,D25&lt;=G25),"Q",IF(OR(D8&lt;=I8,D25&lt;=I25),"C",""))</f>
        <v/>
      </c>
      <c r="L25" s="234" t="n">
        <v>10</v>
      </c>
      <c r="M25" s="152" t="n">
        <v>0.007142824074074074</v>
      </c>
      <c r="N25" s="34">
        <f>IFERROR(IF(M25-D25&gt;0, TEXT(ABS(M25-D25), "MM:SS.00"), "-" &amp; TEXT(ABS(M25-D25), "MM:SS.00")),"-")</f>
        <v/>
      </c>
      <c r="O25" s="180" t="n">
        <v>0.0075</v>
      </c>
      <c r="P25" s="153">
        <f>IFERROR(IF(O25-D25&gt;0, TEXT(ABS(O25-D25), "MM:SS.00"), "-" &amp; TEXT(ABS(O25-D25), "MM:SS.00")),"-")</f>
        <v/>
      </c>
      <c r="Q25" s="169">
        <f>IF(OR(D8&lt;=M8,D25&lt;=M25),"Q",IF(OR(D8&lt;=O8,D25&lt;=O25),"C",""))</f>
        <v/>
      </c>
      <c r="R25" s="230" t="n"/>
      <c r="S25" s="39" t="n"/>
      <c r="T25" s="39" t="n"/>
      <c r="U25" s="40" t="n"/>
      <c r="V25" s="61" t="n"/>
      <c r="W25" s="61" t="n"/>
      <c r="X25" s="102" t="n"/>
      <c r="Y25" s="102" t="inlineStr">
        <is>
          <t>S1-1</t>
        </is>
      </c>
      <c r="Z25" s="95" t="n"/>
      <c r="AA25" s="102" t="inlineStr">
        <is>
          <t>S3-4C</t>
        </is>
      </c>
      <c r="AB25" s="95" t="n"/>
      <c r="AC25" s="64" t="inlineStr">
        <is>
          <t>S4-1</t>
        </is>
      </c>
      <c r="AD25" s="64" t="n"/>
      <c r="AE25" s="64" t="n"/>
      <c r="AF25" s="64" t="inlineStr">
        <is>
          <t>S1-1</t>
        </is>
      </c>
      <c r="AG25" s="64" t="n"/>
      <c r="AH25" s="64" t="n"/>
      <c r="AI25" s="64" t="n"/>
      <c r="AJ25" s="64" t="n"/>
      <c r="AK25" s="64" t="n"/>
      <c r="AL25" s="64" t="inlineStr">
        <is>
          <t>L2-1</t>
        </is>
      </c>
      <c r="AM25" s="64" t="n"/>
      <c r="AN25" s="64" t="n"/>
      <c r="AO25" s="64" t="n"/>
      <c r="AP25" s="64" t="n"/>
      <c r="AQ25" s="122" t="inlineStr">
        <is>
          <t>L1-1</t>
        </is>
      </c>
      <c r="AR25" s="64" t="n"/>
      <c r="AS25" s="64" t="inlineStr">
        <is>
          <t>D</t>
        </is>
      </c>
      <c r="AT25" s="64" t="n"/>
      <c r="AU25" s="64" t="n"/>
      <c r="AV25" s="64" t="n"/>
      <c r="AW25" s="298" t="n"/>
      <c r="AX25" s="298" t="n"/>
      <c r="AY25" s="298" t="n"/>
    </row>
    <row r="26" ht="18" customHeight="1" s="224">
      <c r="B26" s="14" t="inlineStr">
        <is>
          <t>L</t>
        </is>
      </c>
      <c r="C26" s="5" t="inlineStr">
        <is>
          <t>1500 Free</t>
        </is>
      </c>
      <c r="D26" s="126" t="inlineStr">
        <is>
          <t>-</t>
        </is>
      </c>
      <c r="E26" s="45" t="n"/>
      <c r="F26" s="211" t="n">
        <v>97</v>
      </c>
      <c r="G26" s="149" t="n">
        <v>0.01422916666666667</v>
      </c>
      <c r="H26" s="23" t="inlineStr">
        <is>
          <t>-</t>
        </is>
      </c>
      <c r="I26" s="174" t="n">
        <v>0.01450925925925926</v>
      </c>
      <c r="J26" s="177">
        <f>IFERROR(IF(I26-D26&gt;0, TEXT(ABS(I26-D26), "MM:SS.00"), "-" &amp; TEXT(ABS(I26-D26), "MM:SS.00")),"-")</f>
        <v/>
      </c>
      <c r="K26" s="169">
        <f>IF(OR(D9&lt;=G9,D26&lt;=G26),"Q",IF(OR(D9&lt;=I9,D26&lt;=I26),"C",""))</f>
        <v/>
      </c>
      <c r="L26" s="234" t="n">
        <v>10</v>
      </c>
      <c r="M26" s="152" t="n">
        <v>0.01388888888888889</v>
      </c>
      <c r="N26" s="34">
        <f>IFERROR(IF(M26-D26&gt;0, TEXT(ABS(M26-D26), "MM:SS.00"), "-" &amp; TEXT(ABS(M26-D26), "MM:SS.00")),"-")</f>
        <v/>
      </c>
      <c r="O26" s="180" t="n">
        <v>0.01458333333333333</v>
      </c>
      <c r="P26" s="153">
        <f>IFERROR(IF(O26-D26&gt;0, TEXT(ABS(O26-D26), "MM:SS.00"), "-" &amp; TEXT(ABS(O26-D26), "MM:SS.00")),"-")</f>
        <v/>
      </c>
      <c r="Q26" s="169">
        <f>IF(OR(D9&lt;=M9,D26&lt;=M26),"Q",IF(OR(D9&lt;=O9,D26&lt;=O26),"C",""))</f>
        <v/>
      </c>
      <c r="R26" s="230" t="n"/>
      <c r="S26" s="39" t="n"/>
      <c r="T26" s="39" t="n"/>
      <c r="U26" s="40" t="n"/>
      <c r="V26" s="61" t="n"/>
      <c r="W26" s="61" t="n"/>
      <c r="X26" s="102" t="n"/>
      <c r="Y26" s="102" t="inlineStr">
        <is>
          <t>S1-1</t>
        </is>
      </c>
      <c r="Z26" s="95" t="n"/>
      <c r="AA26" s="102" t="inlineStr">
        <is>
          <t>S3-4C</t>
        </is>
      </c>
      <c r="AB26" s="95" t="n"/>
      <c r="AC26" s="64" t="inlineStr">
        <is>
          <t>S4-1</t>
        </is>
      </c>
      <c r="AD26" s="64" t="n"/>
      <c r="AE26" s="64" t="n"/>
      <c r="AF26" s="64" t="inlineStr">
        <is>
          <t>S1-1</t>
        </is>
      </c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298" t="n"/>
      <c r="AX26" s="298" t="n"/>
      <c r="AY26" s="298" t="n"/>
    </row>
    <row r="27" ht="18" customHeight="1" s="224">
      <c r="B27" s="14" t="inlineStr">
        <is>
          <t>L</t>
        </is>
      </c>
      <c r="C27" s="5" t="inlineStr">
        <is>
          <t>50 Back</t>
        </is>
      </c>
      <c r="D27" s="126" t="n">
        <v>0.0004355324074074074</v>
      </c>
      <c r="E27" s="45" t="n">
        <v>46060</v>
      </c>
      <c r="F27" s="211" t="n">
        <v>45</v>
      </c>
      <c r="G27" s="149" t="n">
        <v>0.0004482638888888888</v>
      </c>
      <c r="H27" s="23">
        <f>IFERROR(IF(G27-D27&gt;0, TEXT(ABS(G27-D27), "MM:SS.00"), "-" &amp; TEXT(ABS(G27-D27), "MM:SS.00")),"-")</f>
        <v/>
      </c>
      <c r="I27" s="174" t="n">
        <v>0.0004778935185185185</v>
      </c>
      <c r="J27" s="177">
        <f>IFERROR(IF(I27-D27&gt;0, TEXT(ABS(I27-D27), "MM:SS.00"), "-" &amp; TEXT(ABS(I27-D27), "MM:SS.00")),"-")</f>
        <v/>
      </c>
      <c r="K27" s="169">
        <f>IF(OR(D10&lt;=G10,D27&lt;=G27),"Q",IF(OR(D10&lt;=I10,D27&lt;=I27),"C",""))</f>
        <v/>
      </c>
      <c r="L27" s="234" t="n">
        <v>5</v>
      </c>
      <c r="M27" s="152" t="n">
        <v>0.0004144675925925926</v>
      </c>
      <c r="N27" s="34">
        <f>IFERROR(IF(M27-D27&gt;0, TEXT(ABS(M27-D27), "MM:SS.00"), "-" &amp; TEXT(ABS(M27-D27), "MM:SS.00")),"-")</f>
        <v/>
      </c>
      <c r="O27" s="180" t="n">
        <v>0.0004351851851851852</v>
      </c>
      <c r="P27" s="153">
        <f>IFERROR(IF(O27-D27&gt;0, TEXT(ABS(O27-D27), "MM:SS.00"), "-" &amp; TEXT(ABS(O27-D27), "MM:SS.00")),"-")</f>
        <v/>
      </c>
      <c r="Q27" s="169">
        <f>IF(OR(D10&lt;=M10,D27&lt;=M27),"Q",IF(OR(D10&lt;=O10,D27&lt;=O27),"C",""))</f>
        <v/>
      </c>
      <c r="R27" s="230" t="n">
        <v>6</v>
      </c>
      <c r="S27" s="39" t="inlineStr">
        <is>
          <t>X (D2-S5)</t>
        </is>
      </c>
      <c r="T27" s="39" t="n"/>
      <c r="U27" s="40" t="n"/>
      <c r="V27" s="61" t="n"/>
      <c r="W27" s="61" t="n"/>
      <c r="X27" s="102" t="n"/>
      <c r="Y27" s="102" t="n"/>
      <c r="Z27" s="95" t="n"/>
      <c r="AA27" s="102" t="inlineStr">
        <is>
          <t>S1-3</t>
        </is>
      </c>
      <c r="AB27" s="95" t="n"/>
      <c r="AC27" s="64" t="inlineStr">
        <is>
          <t>S2-2</t>
        </is>
      </c>
      <c r="AD27" s="64" t="n"/>
      <c r="AE27" s="64" t="inlineStr">
        <is>
          <t>S2-3</t>
        </is>
      </c>
      <c r="AF27" s="64" t="inlineStr">
        <is>
          <t>S4-1</t>
        </is>
      </c>
      <c r="AG27" s="64" t="inlineStr">
        <is>
          <t>S4-1</t>
        </is>
      </c>
      <c r="AH27" s="64" t="n"/>
      <c r="AI27" s="64" t="n"/>
      <c r="AJ27" s="64" t="n"/>
      <c r="AK27" s="64" t="n"/>
      <c r="AL27" s="64" t="inlineStr">
        <is>
          <t>L1-1</t>
        </is>
      </c>
      <c r="AM27" s="64" t="n"/>
      <c r="AN27" s="64" t="n"/>
      <c r="AO27" s="64" t="n"/>
      <c r="AP27" s="64" t="inlineStr">
        <is>
          <t>L2-2</t>
        </is>
      </c>
      <c r="AQ27" s="64" t="inlineStr">
        <is>
          <t>L2-2</t>
        </is>
      </c>
      <c r="AR27" s="64" t="inlineStr">
        <is>
          <t>D1-L2-1</t>
        </is>
      </c>
      <c r="AS27" s="64" t="n"/>
      <c r="AT27" s="64" t="n"/>
      <c r="AU27" s="64" t="n"/>
      <c r="AV27" s="64" t="n"/>
      <c r="AW27" s="298" t="n"/>
      <c r="AX27" s="298" t="inlineStr">
        <is>
          <t>S1-5</t>
        </is>
      </c>
      <c r="AY27" s="298" t="n"/>
    </row>
    <row r="28" ht="18" customHeight="1" s="224">
      <c r="B28" s="14" t="inlineStr">
        <is>
          <t>L</t>
        </is>
      </c>
      <c r="C28" s="5" t="inlineStr">
        <is>
          <t>100 Back</t>
        </is>
      </c>
      <c r="D28" s="126" t="n">
        <v>0.0009635416666666667</v>
      </c>
      <c r="E28" s="45" t="n">
        <v>46096</v>
      </c>
      <c r="F28" s="211" t="n">
        <v>46</v>
      </c>
      <c r="G28" s="149" t="n">
        <v>0.000982638888888889</v>
      </c>
      <c r="H28" s="23">
        <f>IFERROR(IF(G28-D28&gt;0, TEXT(ABS(G28-D28), "MM:SS.00"), "-" &amp; TEXT(ABS(G28-D28), "MM:SS.00")),"-")</f>
        <v/>
      </c>
      <c r="I28" s="174" t="n">
        <v>0.001040509259259259</v>
      </c>
      <c r="J28" s="177">
        <f>IFERROR(IF(I28-D28&gt;0, TEXT(ABS(I28-D28), "MM:SS.00"), "-" &amp; TEXT(ABS(I28-D28), "MM:SS.00")),"-")</f>
        <v/>
      </c>
      <c r="K28" s="169">
        <f>IF(OR(D11&lt;=G11,D28&lt;=G28),"Q",IF(OR(D11&lt;=I11,D28&lt;=I28),"C",""))</f>
        <v/>
      </c>
      <c r="L28" s="234" t="n">
        <v>4</v>
      </c>
      <c r="M28" s="152" t="n">
        <v>0.0008928240740740741</v>
      </c>
      <c r="N28" s="34">
        <f>IFERROR(IF(M28-D28&gt;0, TEXT(ABS(M28-D28), "MM:SS.00"), "-" &amp; TEXT(ABS(M28-D28), "MM:SS.00")),"-")</f>
        <v/>
      </c>
      <c r="O28" s="180" t="n">
        <v>0.0009375</v>
      </c>
      <c r="P28" s="153">
        <f>IFERROR(IF(O28-D28&gt;0, TEXT(ABS(O28-D28), "MM:SS.00"), "-" &amp; TEXT(ABS(O28-D28), "MM:SS.00")),"-")</f>
        <v/>
      </c>
      <c r="Q28" s="169">
        <f>IF(OR(D11&lt;=M11,D28&lt;=M28),"Q",IF(OR(D11&lt;=O11,D28&lt;=O28),"C",""))</f>
        <v/>
      </c>
      <c r="R28" s="230" t="n">
        <v>7</v>
      </c>
      <c r="S28" s="39" t="inlineStr">
        <is>
          <t>X (D1-S3)</t>
        </is>
      </c>
      <c r="T28" s="39" t="n"/>
      <c r="U28" s="40" t="n"/>
      <c r="V28" s="61" t="n"/>
      <c r="W28" s="61" t="n"/>
      <c r="X28" s="102" t="n"/>
      <c r="Y28" s="102" t="n"/>
      <c r="Z28" s="95" t="n"/>
      <c r="AA28" s="102" t="n"/>
      <c r="AB28" s="95" t="inlineStr">
        <is>
          <t>S6-2</t>
        </is>
      </c>
      <c r="AC28" s="64" t="inlineStr">
        <is>
          <t>S4-2</t>
        </is>
      </c>
      <c r="AD28" s="64" t="n"/>
      <c r="AE28" s="64" t="n"/>
      <c r="AF28" s="64" t="inlineStr">
        <is>
          <t>S2-2</t>
        </is>
      </c>
      <c r="AG28" s="64" t="inlineStr">
        <is>
          <t>S3-1</t>
        </is>
      </c>
      <c r="AH28" s="64" t="n"/>
      <c r="AI28" s="64" t="n"/>
      <c r="AJ28" s="64" t="n"/>
      <c r="AK28" s="64" t="n"/>
      <c r="AL28" s="64" t="n"/>
      <c r="AM28" s="64" t="inlineStr">
        <is>
          <t>L6-1</t>
        </is>
      </c>
      <c r="AN28" s="64" t="n"/>
      <c r="AO28" s="64" t="n"/>
      <c r="AP28" s="64" t="inlineStr">
        <is>
          <t>L1-2</t>
        </is>
      </c>
      <c r="AQ28" s="64" t="inlineStr">
        <is>
          <t>L5-1</t>
        </is>
      </c>
      <c r="AR28" s="64" t="inlineStr">
        <is>
          <t>D2-L2-1</t>
        </is>
      </c>
      <c r="AS28" s="64" t="n"/>
      <c r="AT28" s="64" t="inlineStr">
        <is>
          <t>L1-1</t>
        </is>
      </c>
      <c r="AU28" s="64" t="n"/>
      <c r="AV28" s="64" t="n"/>
      <c r="AW28" s="298" t="n"/>
      <c r="AX28" s="298" t="n"/>
      <c r="AY28" s="298" t="inlineStr">
        <is>
          <t>D1-S2-1</t>
        </is>
      </c>
    </row>
    <row r="29" ht="18" customHeight="1" s="224">
      <c r="B29" s="14" t="inlineStr">
        <is>
          <t>L</t>
        </is>
      </c>
      <c r="C29" s="5" t="inlineStr">
        <is>
          <t>200 Back</t>
        </is>
      </c>
      <c r="D29" s="126" t="n">
        <v>0.002053472222222222</v>
      </c>
      <c r="E29" s="45" t="n">
        <v>46068</v>
      </c>
      <c r="F29" s="211" t="n"/>
      <c r="G29" s="149" t="n">
        <v>0.002116898148148148</v>
      </c>
      <c r="H29" s="23">
        <f>IFERROR(IF(G29-D29&gt;0, TEXT(ABS(G29-D29), "MM:SS.00"), "-" &amp; TEXT(ABS(G29-D29), "MM:SS.00")),"-")</f>
        <v/>
      </c>
      <c r="I29" s="174" t="n">
        <v>0.00221875</v>
      </c>
      <c r="J29" s="177">
        <f>IFERROR(IF(I29-D29&gt;0, TEXT(ABS(I29-D29), "MM:SS.00"), "-" &amp; TEXT(ABS(I29-D29), "MM:SS.00")),"-")</f>
        <v/>
      </c>
      <c r="K29" s="169">
        <f>IF(OR(D12&lt;=G12,D29&lt;=G29),"Q",IF(OR(D12&lt;=I12,D29&lt;=I29),"C",""))</f>
        <v/>
      </c>
      <c r="L29" s="234" t="inlineStr">
        <is>
          <t>-</t>
        </is>
      </c>
      <c r="M29" s="152" t="n">
        <v>0.001889351851851852</v>
      </c>
      <c r="N29" s="34">
        <f>IFERROR(IF(M29-D29&gt;0, TEXT(ABS(M29-D29), "MM:SS.00"), "-" &amp; TEXT(ABS(M29-D29), "MM:SS.00")),"-")</f>
        <v/>
      </c>
      <c r="O29" s="180" t="n">
        <v>0.001983796296296296</v>
      </c>
      <c r="P29" s="153">
        <f>IFERROR(IF(O29-D29&gt;0, TEXT(ABS(O29-D29), "MM:SS.00"), "-" &amp; TEXT(ABS(O29-D29), "MM:SS.00")),"-")</f>
        <v/>
      </c>
      <c r="Q29" s="169">
        <f>IF(OR(D12&lt;=M12,D29&lt;=M29),"Q",IF(OR(D12&lt;=O12,D29&lt;=O29),"C",""))</f>
        <v/>
      </c>
      <c r="R29" s="230" t="inlineStr">
        <is>
          <t>-</t>
        </is>
      </c>
      <c r="S29" s="40" t="inlineStr">
        <is>
          <t>?</t>
        </is>
      </c>
      <c r="T29" s="40" t="n"/>
      <c r="U29" s="40" t="n"/>
      <c r="V29" s="61" t="n"/>
      <c r="W29" s="61" t="n"/>
      <c r="X29" s="102" t="n"/>
      <c r="Y29" s="102" t="n"/>
      <c r="Z29" s="95" t="n"/>
      <c r="AA29" s="102" t="n"/>
      <c r="AB29" s="95" t="inlineStr">
        <is>
          <t>S7-2</t>
        </is>
      </c>
      <c r="AC29" s="64" t="inlineStr">
        <is>
          <t>S1-1</t>
        </is>
      </c>
      <c r="AD29" s="64" t="n"/>
      <c r="AE29" s="64" t="n"/>
      <c r="AF29" s="64" t="inlineStr">
        <is>
          <t>S3-2</t>
        </is>
      </c>
      <c r="AG29" s="64" t="inlineStr">
        <is>
          <t>S1-2</t>
        </is>
      </c>
      <c r="AH29" s="64" t="n"/>
      <c r="AI29" s="64" t="n"/>
      <c r="AJ29" s="64" t="n"/>
      <c r="AK29" s="64" t="n"/>
      <c r="AL29" s="64" t="n"/>
      <c r="AM29" s="64" t="inlineStr">
        <is>
          <t>L7-1</t>
        </is>
      </c>
      <c r="AN29" s="64" t="n"/>
      <c r="AO29" s="64" t="n"/>
      <c r="AP29" s="64" t="n"/>
      <c r="AQ29" s="139" t="inlineStr">
        <is>
          <t>L6-1</t>
        </is>
      </c>
      <c r="AR29" s="64" t="inlineStr">
        <is>
          <t>D2-L3-2</t>
        </is>
      </c>
      <c r="AS29" s="64" t="inlineStr">
        <is>
          <t>D</t>
        </is>
      </c>
      <c r="AT29" s="64" t="n"/>
      <c r="AU29" s="64" t="n"/>
      <c r="AV29" s="64" t="n"/>
      <c r="AW29" s="298" t="n"/>
      <c r="AX29" s="298" t="n"/>
      <c r="AY29" s="298" t="inlineStr">
        <is>
          <t>D2-S4-3</t>
        </is>
      </c>
    </row>
    <row r="30" ht="18" customHeight="1" s="224">
      <c r="B30" s="14" t="inlineStr">
        <is>
          <t>L</t>
        </is>
      </c>
      <c r="C30" s="5" t="inlineStr">
        <is>
          <t>50 Breast</t>
        </is>
      </c>
      <c r="D30" s="126" t="n">
        <v>0.0006391203703703704</v>
      </c>
      <c r="E30" s="45" t="n">
        <v>45452</v>
      </c>
      <c r="F30" s="211" t="inlineStr">
        <is>
          <t>100+</t>
        </is>
      </c>
      <c r="G30" s="149" t="n">
        <v>0.0005018518518518519</v>
      </c>
      <c r="H30" s="23">
        <f>IFERROR(IF(G30-D30&gt;0, TEXT(ABS(G30-D30), "MM:SS.00"), "-" &amp; TEXT(ABS(G30-D30), "MM:SS.00")),"-")</f>
        <v/>
      </c>
      <c r="I30" s="174" t="n">
        <v>0.0005436342592592592</v>
      </c>
      <c r="J30" s="177">
        <f>IFERROR(IF(I30-D30&gt;0, TEXT(ABS(I30-D30), "MM:SS.00"), "-" &amp; TEXT(ABS(I30-D30), "MM:SS.00")),"-")</f>
        <v/>
      </c>
      <c r="K30" s="169">
        <f>IF(OR(D13&lt;=G13,D30&lt;=G30),"Q",IF(OR(D13&lt;=I13,D30&lt;=I30),"C",""))</f>
        <v/>
      </c>
      <c r="L30" s="234" t="n">
        <v>15</v>
      </c>
      <c r="M30" s="152" t="n">
        <v>0.0004673611111111112</v>
      </c>
      <c r="N30" s="34">
        <f>IFERROR(IF(M30-D30&gt;0, TEXT(ABS(M30-D30), "MM:SS.00"), "-" &amp; TEXT(ABS(M30-D30), "MM:SS.00")),"-")</f>
        <v/>
      </c>
      <c r="O30" s="180" t="n">
        <v>0.0004907407407407407</v>
      </c>
      <c r="P30" s="153">
        <f>IFERROR(IF(O30-D30&gt;0, TEXT(ABS(O30-D30), "MM:SS.00"), "-" &amp; TEXT(ABS(O30-D30), "MM:SS.00")),"-")</f>
        <v/>
      </c>
      <c r="Q30" s="169">
        <f>IF(OR(D13&lt;=M13,D30&lt;=M30),"Q",IF(OR(D13&lt;=O13,D30&lt;=O30),"C",""))</f>
        <v/>
      </c>
      <c r="R30" s="230" t="n">
        <v>27</v>
      </c>
      <c r="S30" s="40" t="inlineStr">
        <is>
          <t>?</t>
        </is>
      </c>
      <c r="T30" s="40" t="n"/>
      <c r="U30" s="40" t="n"/>
      <c r="V30" s="61" t="n"/>
      <c r="W30" s="61" t="n">
        <v>31</v>
      </c>
      <c r="X30" s="102" t="n"/>
      <c r="Y30" s="102" t="n"/>
      <c r="Z30" s="95" t="n"/>
      <c r="AA30" s="102" t="n"/>
      <c r="AB30" s="95" t="n"/>
      <c r="AC30" s="64" t="n"/>
      <c r="AD30" s="64" t="n"/>
      <c r="AE30" s="64" t="n"/>
      <c r="AF30" s="64" t="inlineStr">
        <is>
          <t>S1-2</t>
        </is>
      </c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136" t="inlineStr">
        <is>
          <t>L3-2</t>
        </is>
      </c>
      <c r="AR30" s="64" t="n"/>
      <c r="AS30" s="64" t="inlineStr">
        <is>
          <t>X</t>
        </is>
      </c>
      <c r="AT30" s="64" t="n"/>
      <c r="AU30" s="64" t="n"/>
      <c r="AV30" s="64" t="n"/>
      <c r="AW30" s="298" t="n"/>
      <c r="AX30" s="298" t="inlineStr">
        <is>
          <t>S1-4</t>
        </is>
      </c>
      <c r="AY30" s="298" t="inlineStr">
        <is>
          <t>D2-S4-2</t>
        </is>
      </c>
    </row>
    <row r="31" ht="18" customHeight="1" s="224">
      <c r="B31" s="14" t="inlineStr">
        <is>
          <t>L</t>
        </is>
      </c>
      <c r="C31" s="5" t="inlineStr">
        <is>
          <t>100 Breast</t>
        </is>
      </c>
      <c r="D31" s="126" t="inlineStr">
        <is>
          <t>-</t>
        </is>
      </c>
      <c r="E31" s="45" t="n"/>
      <c r="F31" s="211" t="n"/>
      <c r="G31" s="149" t="n">
        <v>0.00112037037037037</v>
      </c>
      <c r="H31" s="23">
        <f>IFERROR(IF(G31-D31&gt;0, TEXT(ABS(G31-D31), "MM:SS.00"), "-" &amp; TEXT(ABS(G31-D31), "MM:SS.00")),"-")</f>
        <v/>
      </c>
      <c r="I31" s="174" t="n">
        <v>0.001197916666666667</v>
      </c>
      <c r="J31" s="177">
        <f>IFERROR(IF(I31-D31&gt;0, TEXT(ABS(I31-D31), "MM:SS.00"), "-" &amp; TEXT(ABS(I31-D31), "MM:SS.00")),"-")</f>
        <v/>
      </c>
      <c r="K31" s="169">
        <f>IF(OR(D14&lt;=G14,D31&lt;=G31),"Q",IF(OR(D14&lt;=I14,D31&lt;=I31),"C",""))</f>
        <v/>
      </c>
      <c r="L31" s="234" t="inlineStr">
        <is>
          <t>-</t>
        </is>
      </c>
      <c r="M31" s="152" t="n">
        <v>0.001039467592592593</v>
      </c>
      <c r="N31" s="34">
        <f>IFERROR(IF(M31-D31&gt;0, TEXT(ABS(M31-D31), "MM:SS.00"), "-" &amp; TEXT(ABS(M31-D31), "MM:SS.00")),"-")</f>
        <v/>
      </c>
      <c r="O31" s="180" t="n">
        <v>0.001091435185185185</v>
      </c>
      <c r="P31" s="153">
        <f>IFERROR(IF(O31-D31&gt;0, TEXT(ABS(O31-D31), "MM:SS.00"), "-" &amp; TEXT(ABS(O31-D31), "MM:SS.00")),"-")</f>
        <v/>
      </c>
      <c r="Q31" s="169">
        <f>IF(OR(D14&lt;=M14,D31&lt;=M31),"Q",IF(OR(D14&lt;=O14,D31&lt;=O31),"C",""))</f>
        <v/>
      </c>
      <c r="R31" s="230" t="inlineStr">
        <is>
          <t>-</t>
        </is>
      </c>
      <c r="S31" s="39" t="n"/>
      <c r="T31" s="39" t="n"/>
      <c r="U31" s="40" t="n"/>
      <c r="V31" s="61" t="n"/>
      <c r="W31" s="61" t="n"/>
      <c r="X31" s="102" t="n"/>
      <c r="Y31" s="102" t="n"/>
      <c r="Z31" s="95" t="n"/>
      <c r="AA31" s="102" t="n"/>
      <c r="AB31" s="95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136" t="inlineStr">
        <is>
          <t>L2-1</t>
        </is>
      </c>
      <c r="AR31" s="64" t="n"/>
      <c r="AS31" s="64" t="inlineStr">
        <is>
          <t>D</t>
        </is>
      </c>
      <c r="AT31" s="64" t="n"/>
      <c r="AU31" s="64" t="n"/>
      <c r="AV31" s="64" t="n"/>
      <c r="AW31" s="298" t="n"/>
      <c r="AX31" s="298" t="n"/>
      <c r="AY31" s="298" t="n"/>
    </row>
    <row r="32" ht="18" customHeight="1" s="224">
      <c r="B32" s="14" t="inlineStr">
        <is>
          <t>L</t>
        </is>
      </c>
      <c r="C32" s="5" t="inlineStr">
        <is>
          <t>200 Breast</t>
        </is>
      </c>
      <c r="D32" s="126" t="inlineStr">
        <is>
          <t>-</t>
        </is>
      </c>
      <c r="E32" s="118" t="n"/>
      <c r="F32" s="211" t="n">
        <v>97</v>
      </c>
      <c r="G32" s="149" t="n">
        <v>0.002413194444444444</v>
      </c>
      <c r="H32" s="23" t="inlineStr">
        <is>
          <t>-</t>
        </is>
      </c>
      <c r="I32" s="174" t="n">
        <v>0.002569444444444445</v>
      </c>
      <c r="J32" s="177">
        <f>IFERROR(IF(I32-D32&gt;0, TEXT(ABS(I32-D32), "MM:SS.00"), "-" &amp; TEXT(ABS(I32-D32), "MM:SS.00")),"-")</f>
        <v/>
      </c>
      <c r="K32" s="169">
        <f>IF(OR(D15&lt;=G15,D32&lt;=G32),"Q",IF(OR(D15&lt;=I15,D32&lt;=I32),"C",""))</f>
        <v/>
      </c>
      <c r="L32" s="234" t="n">
        <v>10</v>
      </c>
      <c r="M32" s="152" t="n">
        <v>0.002220023148148148</v>
      </c>
      <c r="N32" s="34">
        <f>IFERROR(IF(M32-D32&gt;0, TEXT(ABS(M32-D32), "MM:SS.00"), "-" &amp; TEXT(ABS(M32-D32), "MM:SS.00")),"-")</f>
        <v/>
      </c>
      <c r="O32" s="180" t="n">
        <v>0.002331018518518519</v>
      </c>
      <c r="P32" s="153">
        <f>IFERROR(IF(O32-D32&gt;0, TEXT(ABS(O32-D32), "MM:SS.00"), "-" &amp; TEXT(ABS(O32-D32), "MM:SS.00")),"-")</f>
        <v/>
      </c>
      <c r="Q32" s="169">
        <f>IF(OR(D15&lt;=M15,D32&lt;=M32),"Q",IF(OR(D15&lt;=O15,D32&lt;=O32),"C",""))</f>
        <v/>
      </c>
      <c r="R32" s="230" t="n"/>
      <c r="S32" s="39" t="n"/>
      <c r="T32" s="39" t="n"/>
      <c r="U32" s="40" t="n"/>
      <c r="V32" s="61" t="n"/>
      <c r="W32" s="61" t="n"/>
      <c r="X32" s="102" t="n"/>
      <c r="Y32" s="102" t="inlineStr">
        <is>
          <t>S1-1</t>
        </is>
      </c>
      <c r="Z32" s="95" t="n"/>
      <c r="AA32" s="102" t="inlineStr">
        <is>
          <t>S3-4C</t>
        </is>
      </c>
      <c r="AB32" s="95" t="n"/>
      <c r="AC32" s="64" t="inlineStr">
        <is>
          <t>S4-1</t>
        </is>
      </c>
      <c r="AD32" s="64" t="n"/>
      <c r="AE32" s="64" t="n"/>
      <c r="AF32" s="64" t="inlineStr">
        <is>
          <t>S1-1</t>
        </is>
      </c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298" t="n"/>
      <c r="AX32" s="298" t="n"/>
      <c r="AY32" s="298" t="n"/>
    </row>
    <row r="33" ht="18" customHeight="1" s="224">
      <c r="B33" s="14" t="inlineStr">
        <is>
          <t>L</t>
        </is>
      </c>
      <c r="C33" s="5" t="inlineStr">
        <is>
          <t>50 Fly</t>
        </is>
      </c>
      <c r="D33" s="126" t="n">
        <v>0.0004146990740740741</v>
      </c>
      <c r="E33" s="118" t="n">
        <v>46061</v>
      </c>
      <c r="F33" s="214" t="n">
        <v>64</v>
      </c>
      <c r="G33" s="149" t="n">
        <v>0.0004241898148148148</v>
      </c>
      <c r="H33" s="23">
        <f>IFERROR(IF(G33-D33&gt;0, TEXT(ABS(G33-D33), "MM:SS.00"), "-" &amp; TEXT(ABS(G33-D33), "MM:SS.00")),"-")</f>
        <v/>
      </c>
      <c r="I33" s="174" t="n">
        <v>0.0004715277777777778</v>
      </c>
      <c r="J33" s="177">
        <f>IFERROR(IF(I33-D33&gt;0, TEXT(ABS(I33-D33), "MM:SS.00"), "-" &amp; TEXT(ABS(I33-D33), "MM:SS.00")),"-")</f>
        <v/>
      </c>
      <c r="K33" s="169">
        <f>IF(OR(D16&lt;=G16,D33&lt;=G33),"Q",IF(OR(D16&lt;=I16,D33&lt;=I33),"C",""))</f>
        <v/>
      </c>
      <c r="L33" s="234" t="n">
        <v>7</v>
      </c>
      <c r="M33" s="152" t="n">
        <v>0.0003946759259259259</v>
      </c>
      <c r="N33" s="34">
        <f>IFERROR(IF(M33-D33&gt;0, TEXT(ABS(M33-D33), "MM:SS.00"), "-" &amp; TEXT(ABS(M33-D33), "MM:SS.00")),"-")</f>
        <v/>
      </c>
      <c r="O33" s="180" t="n">
        <v>0.0004143518518518518</v>
      </c>
      <c r="P33" s="153">
        <f>IFERROR(IF(O33-D33&gt;0, TEXT(ABS(O33-D33), "MM:SS.00"), "-" &amp; TEXT(ABS(O33-D33), "MM:SS.00")),"-")</f>
        <v/>
      </c>
      <c r="Q33" s="169">
        <f>IF(OR(D16&lt;=M16,D33&lt;=M33),"Q",IF(OR(D16&lt;=O16,D33&lt;=O33),"C",""))</f>
        <v/>
      </c>
      <c r="R33" s="230" t="n">
        <v>6</v>
      </c>
      <c r="S33" s="39" t="n"/>
      <c r="T33" s="39" t="n"/>
      <c r="U33" s="40" t="n"/>
      <c r="V33" s="61" t="n">
        <v>2</v>
      </c>
      <c r="W33" s="61" t="n"/>
      <c r="X33" s="102" t="n"/>
      <c r="Y33" s="102" t="n"/>
      <c r="Z33" s="95" t="n"/>
      <c r="AA33" s="102" t="inlineStr">
        <is>
          <t>S4-2</t>
        </is>
      </c>
      <c r="AB33" s="95" t="n"/>
      <c r="AC33" s="64" t="inlineStr">
        <is>
          <t>S3-2</t>
        </is>
      </c>
      <c r="AD33" s="64" t="n"/>
      <c r="AE33" s="64" t="n"/>
      <c r="AF33" s="64" t="inlineStr">
        <is>
          <t>S3-1</t>
        </is>
      </c>
      <c r="AG33" s="64" t="inlineStr">
        <is>
          <t>S1-1</t>
        </is>
      </c>
      <c r="AH33" s="64" t="n"/>
      <c r="AI33" s="64" t="n"/>
      <c r="AJ33" s="64" t="n"/>
      <c r="AK33" s="64" t="n"/>
      <c r="AL33" s="64" t="inlineStr">
        <is>
          <t>L4-1</t>
        </is>
      </c>
      <c r="AM33" s="64" t="n"/>
      <c r="AN33" s="64" t="n"/>
      <c r="AO33" s="64" t="n"/>
      <c r="AP33" s="64" t="inlineStr">
        <is>
          <t>L1-1</t>
        </is>
      </c>
      <c r="AQ33" s="64" t="inlineStr">
        <is>
          <t>L5-2</t>
        </is>
      </c>
      <c r="AR33" s="64" t="inlineStr">
        <is>
          <t>D2-L2-2</t>
        </is>
      </c>
      <c r="AS33" s="64" t="n"/>
      <c r="AT33" s="64" t="n"/>
      <c r="AU33" s="64" t="n"/>
      <c r="AV33" s="64" t="n"/>
      <c r="AW33" s="298" t="n"/>
      <c r="AX33" s="298" t="inlineStr">
        <is>
          <t>S1-2</t>
        </is>
      </c>
      <c r="AY33" s="298" t="n"/>
    </row>
    <row r="34" ht="18" customHeight="1" s="224">
      <c r="B34" s="14" t="inlineStr">
        <is>
          <t>L</t>
        </is>
      </c>
      <c r="C34" s="5" t="inlineStr">
        <is>
          <t>100 Fly</t>
        </is>
      </c>
      <c r="D34" s="126" t="n">
        <v>0.0009780092592592592</v>
      </c>
      <c r="E34" s="45" t="n">
        <v>46095</v>
      </c>
      <c r="F34" s="211" t="n">
        <v>53</v>
      </c>
      <c r="G34" s="149" t="n">
        <v>0.001012731481481481</v>
      </c>
      <c r="H34" s="23">
        <f>IFERROR(IF(G34-D34&gt;0, TEXT(ABS(G34-D34), "MM:SS.00"), "-" &amp; TEXT(ABS(G34-D34), "MM:SS.00")),"-")</f>
        <v/>
      </c>
      <c r="I34" s="174" t="n">
        <v>0.001162037037037037</v>
      </c>
      <c r="J34" s="177">
        <f>IFERROR(IF(I34-D34&gt;0, TEXT(ABS(I34-D34), "MM:SS.00"), "-" &amp; TEXT(ABS(I34-D34), "MM:SS.00")),"-")</f>
        <v/>
      </c>
      <c r="K34" s="169">
        <f>IF(OR(D17&lt;=G17,D34&lt;=G34),"Q",IF(OR(D17&lt;=I17,D34&lt;=I34),"C",""))</f>
        <v/>
      </c>
      <c r="L34" s="234" t="n">
        <v>4</v>
      </c>
      <c r="M34" s="152" t="n">
        <v>0.0009071759259259259</v>
      </c>
      <c r="N34" s="34">
        <f>IFERROR(IF(M34-D34&gt;0, TEXT(ABS(M34-D34), "MM:SS.00"), "-" &amp; TEXT(ABS(M34-D34), "MM:SS.00")),"-")</f>
        <v/>
      </c>
      <c r="O34" s="180" t="n">
        <v>0.0009525462962962963</v>
      </c>
      <c r="P34" s="153">
        <f>IFERROR(IF(O34-D34&gt;0, TEXT(ABS(O34-D34), "MM:SS.00"), "-" &amp; TEXT(ABS(O34-D34), "MM:SS.00")),"-")</f>
        <v/>
      </c>
      <c r="Q34" s="169">
        <f>IF(OR(D17&lt;=M17,D34&lt;=M34),"Q",IF(OR(D17&lt;=O17,D34&lt;=O34),"C",""))</f>
        <v/>
      </c>
      <c r="R34" s="230" t="n">
        <v>7</v>
      </c>
      <c r="S34" s="39" t="n"/>
      <c r="T34" s="39" t="n"/>
      <c r="U34" s="40" t="n"/>
      <c r="V34" s="61" t="n"/>
      <c r="W34" s="61" t="n"/>
      <c r="X34" s="102" t="n"/>
      <c r="Y34" s="102" t="n"/>
      <c r="Z34" s="95" t="n"/>
      <c r="AA34" s="102" t="n"/>
      <c r="AB34" s="95" t="inlineStr">
        <is>
          <t>S8-3</t>
        </is>
      </c>
      <c r="AC34" s="64" t="inlineStr">
        <is>
          <t>S1-2</t>
        </is>
      </c>
      <c r="AD34" s="64" t="n"/>
      <c r="AE34" s="64" t="inlineStr">
        <is>
          <t>S2-4</t>
        </is>
      </c>
      <c r="AF34" s="64" t="n"/>
      <c r="AG34" s="64" t="inlineStr">
        <is>
          <t>S1-3</t>
        </is>
      </c>
      <c r="AH34" s="64" t="n"/>
      <c r="AI34" s="64" t="n"/>
      <c r="AJ34" s="64" t="n"/>
      <c r="AK34" s="64" t="n"/>
      <c r="AL34" s="64" t="n"/>
      <c r="AM34" s="64" t="inlineStr">
        <is>
          <t>L8-1</t>
        </is>
      </c>
      <c r="AN34" s="64" t="n"/>
      <c r="AO34" s="64" t="n"/>
      <c r="AP34" s="64" t="inlineStr">
        <is>
          <t>L2-3</t>
        </is>
      </c>
      <c r="AQ34" s="64" t="inlineStr">
        <is>
          <t>L3-3</t>
        </is>
      </c>
      <c r="AR34" s="64" t="inlineStr">
        <is>
          <t>D2-L3-1</t>
        </is>
      </c>
      <c r="AS34" s="64" t="n"/>
      <c r="AT34" s="64" t="inlineStr">
        <is>
          <t>L2-1</t>
        </is>
      </c>
      <c r="AU34" s="64" t="n"/>
      <c r="AV34" s="64" t="n"/>
      <c r="AW34" s="298" t="n"/>
      <c r="AX34" s="298" t="n"/>
      <c r="AY34" s="298" t="n"/>
    </row>
    <row r="35" ht="18" customHeight="1" s="224">
      <c r="B35" s="14" t="inlineStr">
        <is>
          <t>L</t>
        </is>
      </c>
      <c r="C35" s="5" t="inlineStr">
        <is>
          <t>200 Fly</t>
        </is>
      </c>
      <c r="D35" s="126" t="n">
        <v>0.002275462962962963</v>
      </c>
      <c r="E35" s="45" t="n">
        <v>46102</v>
      </c>
      <c r="F35" s="211" t="n"/>
      <c r="G35" s="149" t="n">
        <v>0.002619212962962963</v>
      </c>
      <c r="H35" s="23" t="n"/>
      <c r="I35" s="174" t="n">
        <v>0.003076388888888889</v>
      </c>
      <c r="J35" s="177">
        <f>IFERROR(IF(I35-D35&gt;0, TEXT(ABS(I35-D35), "MM:SS.00"), "-" &amp; TEXT(ABS(I35-D35), "MM:SS.00")),"-")</f>
        <v/>
      </c>
      <c r="K35" s="169">
        <f>IF(OR(D18&lt;=G18,D35&lt;=G35),"Q",IF(OR(D18&lt;=I18,D35&lt;=I35),"C",""))</f>
        <v/>
      </c>
      <c r="L35" s="234" t="n"/>
      <c r="M35" s="152" t="n">
        <v>0.002119675925925926</v>
      </c>
      <c r="N35" s="34">
        <f>IFERROR(IF(M35-D35&gt;0, TEXT(ABS(M35-D35), "MM:SS.00"), "-" &amp; TEXT(ABS(M35-D35), "MM:SS.00")),"-")</f>
        <v/>
      </c>
      <c r="O35" s="180" t="n">
        <v>0.002225694444444445</v>
      </c>
      <c r="P35" s="153">
        <f>IFERROR(IF(O35-D35&gt;0, TEXT(ABS(O35-D35), "MM:SS.00"), "-" &amp; TEXT(ABS(O35-D35), "MM:SS.00")),"-")</f>
        <v/>
      </c>
      <c r="Q35" s="169">
        <f>IF(OR(D18&lt;=M18,D35&lt;=M35),"Q",IF(OR(D18&lt;=O18,D35&lt;=O35),"C",""))</f>
        <v/>
      </c>
      <c r="R35" s="230" t="n"/>
      <c r="S35" s="39" t="n"/>
      <c r="T35" s="39" t="n"/>
      <c r="U35" s="40" t="n"/>
      <c r="V35" s="61" t="n"/>
      <c r="W35" s="61" t="n"/>
      <c r="X35" s="102" t="n"/>
      <c r="Y35" s="102" t="n"/>
      <c r="Z35" s="95" t="n"/>
      <c r="AA35" s="102" t="n"/>
      <c r="AB35" s="95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inlineStr">
        <is>
          <t>D1-L2-2</t>
        </is>
      </c>
      <c r="AS35" s="64" t="n"/>
      <c r="AT35" s="64" t="inlineStr">
        <is>
          <t>L1-2</t>
        </is>
      </c>
      <c r="AU35" s="64" t="n"/>
      <c r="AV35" s="64" t="n"/>
      <c r="AW35" s="298" t="n"/>
      <c r="AX35" s="298" t="n"/>
      <c r="AY35" s="298" t="n"/>
    </row>
    <row r="36" ht="18" customHeight="1" s="224">
      <c r="B36" s="14" t="inlineStr">
        <is>
          <t>L</t>
        </is>
      </c>
      <c r="C36" s="5" t="inlineStr">
        <is>
          <t>100 IM</t>
        </is>
      </c>
      <c r="D36" s="126" t="inlineStr">
        <is>
          <t>-</t>
        </is>
      </c>
      <c r="E36" s="45" t="n"/>
      <c r="F36" s="211" t="n"/>
      <c r="G36" s="154" t="inlineStr">
        <is>
          <t>-</t>
        </is>
      </c>
      <c r="H36" s="23">
        <f>IFERROR(IF(G36-D36&gt;0, TEXT(ABS(G36-D36), "MM:SS.00"), "-" &amp; TEXT(ABS(G36-D36), "MM:SS.00")),"-")</f>
        <v/>
      </c>
      <c r="I36" s="172" t="n"/>
      <c r="J36" s="177" t="n"/>
      <c r="K36" s="169" t="n"/>
      <c r="L36" s="234" t="inlineStr">
        <is>
          <t>-</t>
        </is>
      </c>
      <c r="M36" s="152" t="n"/>
      <c r="N36" s="34" t="n"/>
      <c r="O36" s="180" t="n"/>
      <c r="P36" s="153" t="n"/>
      <c r="Q36" s="169" t="n"/>
      <c r="R36" s="230" t="n"/>
      <c r="S36" s="39" t="n"/>
      <c r="T36" s="39" t="n"/>
      <c r="U36" s="40" t="n"/>
      <c r="V36" s="61" t="n"/>
      <c r="W36" s="61" t="n"/>
      <c r="X36" s="102" t="n"/>
      <c r="Y36" s="102" t="n"/>
      <c r="Z36" s="95" t="n"/>
      <c r="AA36" s="102" t="n"/>
      <c r="AB36" s="95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298" t="n"/>
      <c r="AX36" s="298" t="inlineStr">
        <is>
          <t>S1-1</t>
        </is>
      </c>
      <c r="AY36" s="298" t="n"/>
    </row>
    <row r="37" ht="18" customHeight="1" s="224" thickBot="1">
      <c r="B37" s="15" t="inlineStr">
        <is>
          <t>L</t>
        </is>
      </c>
      <c r="C37" s="7" t="inlineStr">
        <is>
          <t>200 IM</t>
        </is>
      </c>
      <c r="D37" s="128" t="n">
        <v>0.002169907407407407</v>
      </c>
      <c r="E37" s="47" t="n">
        <v>46095</v>
      </c>
      <c r="F37" s="212" t="n"/>
      <c r="G37" s="159" t="n">
        <v>0.002101851851851852</v>
      </c>
      <c r="H37" s="26">
        <f>IFERROR(IF(G37-D37&gt;0, TEXT(ABS(G37-D37), "MM:SS.00"), "-" &amp; TEXT(ABS(G37-D37), "MM:SS.00")),"-")</f>
        <v/>
      </c>
      <c r="I37" s="175" t="n">
        <v>0.002234953703703704</v>
      </c>
      <c r="J37" s="178">
        <f>IFERROR(IF(I37-D37&gt;0, TEXT(ABS(I37-D37), "MM:SS.00"), "-" &amp; TEXT(ABS(I37-D37), "MM:SS.00")),"-")</f>
        <v/>
      </c>
      <c r="K37" s="171">
        <f>IF(OR(D20&lt;=G20,D37&lt;=G37),"Q",IF(OR(D20&lt;=I20,D37&lt;=I37),"C",""))</f>
        <v/>
      </c>
      <c r="L37" s="236" t="inlineStr">
        <is>
          <t>-</t>
        </is>
      </c>
      <c r="M37" s="160" t="n">
        <v>0.001906944444444444</v>
      </c>
      <c r="N37" s="37">
        <f>IFERROR(IF(M37-D37&gt;0, TEXT(ABS(M37-D37), "MM:SS.00"), "-" &amp; TEXT(ABS(M37-D37), "MM:SS.00")),"-")</f>
        <v/>
      </c>
      <c r="O37" s="182" t="n">
        <v>0.002002314814814815</v>
      </c>
      <c r="P37" s="157">
        <f>IFERROR(IF(O37-D37&gt;0, TEXT(ABS(O37-D37), "MM:SS.00"), "-" &amp; TEXT(ABS(O37-D37), "MM:SS.00")),"-")</f>
        <v/>
      </c>
      <c r="Q37" s="171">
        <f>IF(OR(D20&lt;=M20,D37&lt;=M37),"Q",IF(OR(D20&lt;=O20,D37&lt;=O37),"C",""))</f>
        <v/>
      </c>
      <c r="R37" s="232" t="inlineStr">
        <is>
          <t>-</t>
        </is>
      </c>
      <c r="S37" s="41" t="n"/>
      <c r="T37" s="41" t="n"/>
      <c r="U37" s="88" t="n"/>
      <c r="V37" s="62" t="n"/>
      <c r="W37" s="62" t="n">
        <v>32</v>
      </c>
      <c r="X37" s="105" t="n"/>
      <c r="Y37" s="105" t="n"/>
      <c r="Z37" s="96" t="n"/>
      <c r="AA37" s="105" t="inlineStr">
        <is>
          <t>S1-1</t>
        </is>
      </c>
      <c r="AB37" s="96" t="n"/>
      <c r="AC37" s="65" t="inlineStr">
        <is>
          <t>S3-3</t>
        </is>
      </c>
      <c r="AD37" s="65" t="n"/>
      <c r="AE37" s="65" t="inlineStr">
        <is>
          <t>S2-1</t>
        </is>
      </c>
      <c r="AF37" s="65" t="inlineStr">
        <is>
          <t>S3-3</t>
        </is>
      </c>
      <c r="AG37" s="112" t="inlineStr">
        <is>
          <t>S3-2</t>
        </is>
      </c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37" t="inlineStr">
        <is>
          <t>L2-1</t>
        </is>
      </c>
      <c r="AQ37" s="140" t="inlineStr">
        <is>
          <t>L3-1</t>
        </is>
      </c>
      <c r="AR37" s="112" t="n"/>
      <c r="AS37" s="112" t="n"/>
      <c r="AT37" s="112" t="n"/>
      <c r="AU37" s="112" t="n"/>
      <c r="AV37" s="112" t="n"/>
      <c r="AW37" s="298" t="n"/>
      <c r="AX37" s="298" t="n"/>
      <c r="AY37" s="298" t="inlineStr">
        <is>
          <t>D1-S2-3</t>
        </is>
      </c>
    </row>
    <row r="38" ht="15" customHeight="1" s="224">
      <c r="L38" s="2" t="n"/>
      <c r="M38" s="2" t="n"/>
      <c r="O38" s="2" t="n"/>
      <c r="P38" s="2" t="n"/>
      <c r="Q38" s="2" t="n"/>
      <c r="R38" s="2" t="n"/>
    </row>
    <row r="39" ht="15" customHeight="1" s="224">
      <c r="L39" s="2" t="n"/>
      <c r="M39" s="2" t="n"/>
      <c r="O39" s="2" t="n"/>
      <c r="P39" s="2" t="n"/>
      <c r="Q39" s="2" t="n"/>
      <c r="R39" s="2" t="n"/>
    </row>
    <row r="40" ht="15" customHeight="1" s="224"/>
    <row r="41" ht="15" customHeight="1" s="224"/>
    <row r="42" ht="15" customHeight="1" s="224"/>
    <row r="43" ht="15" customHeight="1" s="224"/>
    <row r="44" ht="15" customHeight="1" s="224">
      <c r="F44" s="187" t="n"/>
      <c r="G44" s="188" t="n"/>
      <c r="L44" s="188" t="n"/>
    </row>
    <row r="45" ht="15" customHeight="1" s="224">
      <c r="F45" s="187" t="n"/>
    </row>
  </sheetData>
  <autoFilter ref="A3:AW37"/>
  <mergeCells count="3">
    <mergeCell ref="D2:F2"/>
    <mergeCell ref="M2:R2"/>
    <mergeCell ref="G2:L2"/>
  </mergeCells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W45"/>
  <sheetViews>
    <sheetView workbookViewId="0">
      <selection activeCell="A1" sqref="A1:XFD1048576"/>
    </sheetView>
  </sheetViews>
  <sheetFormatPr baseColWidth="10" defaultRowHeight="16"/>
  <cols>
    <col width="13" customWidth="1" style="224" min="1" max="1"/>
    <col width="10.6640625" customWidth="1" style="1" min="2" max="2"/>
    <col width="10.6640625" customWidth="1" style="224" min="3" max="3"/>
    <col width="10.6640625" customWidth="1" style="2" min="4" max="4"/>
    <col width="12.33203125" customWidth="1" style="224" min="5" max="5"/>
    <col hidden="1" width="10.6640625" customWidth="1" style="11" min="6" max="6"/>
    <col width="10.6640625" customWidth="1" style="2" min="7" max="7"/>
    <col width="10.6640625" customWidth="1" style="3" min="8" max="10"/>
    <col width="10.6640625" customWidth="1" style="2" min="11" max="11"/>
    <col width="10.6640625" customWidth="1" style="4" min="12" max="12"/>
    <col width="10.6640625" customWidth="1" style="224" min="13" max="13"/>
    <col width="10.6640625" customWidth="1" style="2" min="14" max="14"/>
    <col width="10.6640625" customWidth="1" style="224" min="15" max="17"/>
    <col width="10.6640625" customWidth="1" style="3" min="18" max="18"/>
    <col hidden="1" width="16.33203125" customWidth="1" style="2" min="19" max="20"/>
    <col hidden="1" width="16.33203125" customWidth="1" style="224" min="21" max="21"/>
    <col hidden="1" width="14.5" customWidth="1" style="2" min="22" max="23"/>
    <col hidden="1" width="14.5" customWidth="1" style="98" min="24" max="36"/>
    <col hidden="1" width="10.83203125" customWidth="1" style="98" min="37" max="48"/>
  </cols>
  <sheetData>
    <row r="1" ht="17" customHeight="1" s="224" thickBot="1"/>
    <row r="2" ht="18" customFormat="1" customHeight="1" s="1" thickBot="1">
      <c r="B2" s="198" t="n"/>
      <c r="C2" s="198" t="n"/>
      <c r="D2" s="243" t="inlineStr">
        <is>
          <t>PBs</t>
        </is>
      </c>
      <c r="E2" s="216" t="n"/>
      <c r="F2" s="217" t="n"/>
      <c r="G2" s="240" t="inlineStr">
        <is>
          <t>County 2027</t>
        </is>
      </c>
      <c r="H2" s="216" t="n"/>
      <c r="I2" s="216" t="n"/>
      <c r="J2" s="216" t="n"/>
      <c r="K2" s="216" t="n"/>
      <c r="L2" s="217" t="n"/>
      <c r="M2" s="237" t="inlineStr">
        <is>
          <t>Regional 2027</t>
        </is>
      </c>
      <c r="N2" s="216" t="n"/>
      <c r="O2" s="216" t="n"/>
      <c r="P2" s="216" t="n"/>
      <c r="Q2" s="216" t="n"/>
      <c r="R2" s="217" t="n"/>
      <c r="AU2" s="216" t="n"/>
      <c r="AV2" s="217" t="n"/>
    </row>
    <row r="3" ht="30" customFormat="1" customHeight="1" s="10" thickBot="1">
      <c r="B3" s="199" t="inlineStr">
        <is>
          <t>Course</t>
        </is>
      </c>
      <c r="C3" s="200" t="inlineStr">
        <is>
          <t>Stroke</t>
        </is>
      </c>
      <c r="D3" s="201" t="inlineStr">
        <is>
          <t>PB</t>
        </is>
      </c>
      <c r="E3" s="202" t="inlineStr">
        <is>
          <t>Obtained</t>
        </is>
      </c>
      <c r="F3" s="203" t="inlineStr">
        <is>
          <t>Nat. Ranking</t>
        </is>
      </c>
      <c r="G3" s="204" t="inlineStr">
        <is>
          <t>County QT</t>
        </is>
      </c>
      <c r="H3" s="205" t="inlineStr">
        <is>
          <t>Difference</t>
        </is>
      </c>
      <c r="I3" s="205" t="inlineStr">
        <is>
          <t>County
Cons</t>
        </is>
      </c>
      <c r="J3" s="205" t="inlineStr">
        <is>
          <t>Cons
Difference</t>
        </is>
      </c>
      <c r="K3" s="205" t="inlineStr">
        <is>
          <t>Qual</t>
        </is>
      </c>
      <c r="L3" s="206" t="inlineStr">
        <is>
          <t>Ranking</t>
        </is>
      </c>
      <c r="M3" s="207" t="inlineStr">
        <is>
          <t>Regional QT</t>
        </is>
      </c>
      <c r="N3" s="208" t="inlineStr">
        <is>
          <t>Difference</t>
        </is>
      </c>
      <c r="O3" s="209" t="inlineStr">
        <is>
          <t>Regional 
Cons</t>
        </is>
      </c>
      <c r="P3" s="209" t="inlineStr">
        <is>
          <t>Cons 
Difference</t>
        </is>
      </c>
      <c r="Q3" s="209" t="inlineStr">
        <is>
          <t>Qual</t>
        </is>
      </c>
      <c r="R3" s="208" t="inlineStr">
        <is>
          <t>Ranking</t>
        </is>
      </c>
      <c r="S3" s="57" t="n"/>
      <c r="T3" s="109" t="n"/>
      <c r="U3" s="189" t="n"/>
      <c r="V3" s="109" t="n"/>
      <c r="W3" s="109" t="n"/>
      <c r="X3" s="109" t="n"/>
      <c r="Y3" s="109" t="n"/>
      <c r="Z3" s="108" t="n"/>
      <c r="AA3" s="109" t="n"/>
      <c r="AB3" s="109" t="n"/>
      <c r="AC3" s="58" t="n"/>
      <c r="AD3" s="58" t="n"/>
      <c r="AE3" s="58" t="n"/>
      <c r="AF3" s="58" t="n"/>
      <c r="AG3" s="58" t="n"/>
      <c r="AH3" s="58" t="n"/>
      <c r="AI3" s="58" t="n"/>
      <c r="AJ3" s="58" t="n"/>
      <c r="AK3" s="58" t="n"/>
      <c r="AL3" s="58" t="n"/>
      <c r="AM3" s="58" t="n"/>
      <c r="AN3" s="58" t="n"/>
      <c r="AO3" s="58" t="n"/>
      <c r="AP3" s="58" t="n"/>
      <c r="AQ3" s="58" t="n"/>
      <c r="AR3" s="58" t="n"/>
      <c r="AS3" s="58" t="n"/>
      <c r="AT3" s="58" t="n"/>
      <c r="AU3" s="58" t="n"/>
      <c r="AV3" s="58" t="n"/>
      <c r="AW3" s="93" t="n"/>
    </row>
    <row r="4" ht="18" customHeight="1" s="224">
      <c r="B4" s="13" t="inlineStr">
        <is>
          <t>S</t>
        </is>
      </c>
      <c r="C4" s="6" t="inlineStr">
        <is>
          <t>50 Free</t>
        </is>
      </c>
      <c r="D4" s="125" t="n">
        <v>0.0003996527777777778</v>
      </c>
      <c r="E4" s="44" t="n">
        <v>46082</v>
      </c>
      <c r="F4" s="210" t="inlineStr">
        <is>
          <t>100+</t>
        </is>
      </c>
      <c r="G4" s="158" t="n">
        <v>0.0003483796296296296</v>
      </c>
      <c r="H4" s="21">
        <f>IFERROR(IF(G4-D4&gt;0, TEXT(ABS(G4-D4), "MM:SS.00"), "-" &amp; TEXT(ABS(G4-D4), "MM:SS.00")),"-")</f>
        <v/>
      </c>
      <c r="I4" s="173" t="n">
        <v>0.0003703703703703704</v>
      </c>
      <c r="J4" s="176">
        <f>IFERROR(IF(I4-D4&gt;0, TEXT(ABS(I4-D4), "MM:SS.00"), "-" &amp; TEXT(ABS(I4-D4), "MM:SS.00")),"-")</f>
        <v/>
      </c>
      <c r="K4" s="168">
        <f>IF(OR(D4&lt;=G4,D21&lt;=G21),"Q",IF(OR(D4&lt;=I4,D21&lt;=I21),"C",""))</f>
        <v/>
      </c>
      <c r="L4" s="233" t="n">
        <v>13</v>
      </c>
      <c r="M4" s="150" t="n">
        <v>0.0003344907407407407</v>
      </c>
      <c r="N4" s="80">
        <f>IFERROR(IF(M4-D4&gt;0, TEXT(ABS(M4-D4), "MM:SS.00"), "-" &amp; TEXT(ABS(M4-D4), "MM:SS.00")),"-")</f>
        <v/>
      </c>
      <c r="O4" s="179" t="n">
        <v>0.0003518518518518518</v>
      </c>
      <c r="P4" s="151">
        <f>IFERROR(IF(O4-D4&gt;0, TEXT(ABS(O4-D4), "MM:SS.00"), "-" &amp; TEXT(ABS(O4-D4), "MM:SS.00")),"-")</f>
        <v/>
      </c>
      <c r="Q4" s="168">
        <f>IF(OR(D4&lt;=M4,D21&lt;=M21),"Q",IF(OR(D4&lt;=O4,D21&lt;=O21),"C",""))</f>
        <v/>
      </c>
      <c r="R4" s="229" t="n">
        <v>52</v>
      </c>
      <c r="S4" s="38" t="n"/>
      <c r="T4" s="38" t="n"/>
      <c r="U4" s="86" t="n"/>
      <c r="V4" s="81" t="n"/>
      <c r="W4" s="195" t="n"/>
      <c r="X4" s="104" t="n"/>
      <c r="Y4" s="104" t="n"/>
      <c r="Z4" s="94" t="n"/>
      <c r="AA4" s="104" t="n"/>
      <c r="AB4" s="104" t="n"/>
      <c r="AC4" s="63" t="n"/>
      <c r="AD4" s="63" t="n"/>
      <c r="AE4" s="63" t="n"/>
      <c r="AF4" s="63" t="n"/>
      <c r="AG4" s="63" t="n"/>
      <c r="AH4" s="63" t="n"/>
      <c r="AI4" s="123" t="n"/>
      <c r="AJ4" s="133" t="n"/>
      <c r="AK4" s="133" t="n"/>
      <c r="AL4" s="133" t="n"/>
      <c r="AM4" s="133" t="n"/>
      <c r="AN4" s="133" t="n"/>
      <c r="AO4" s="133" t="n"/>
      <c r="AP4" s="133" t="n"/>
      <c r="AQ4" s="138" t="n"/>
      <c r="AR4" s="133" t="n"/>
      <c r="AS4" s="133" t="n"/>
      <c r="AT4" s="133" t="n"/>
      <c r="AU4" s="133" t="n"/>
      <c r="AV4" s="133" t="n"/>
    </row>
    <row r="5" ht="18" customHeight="1" s="224">
      <c r="B5" s="14" t="inlineStr">
        <is>
          <t>S</t>
        </is>
      </c>
      <c r="C5" s="5" t="inlineStr">
        <is>
          <t>100 Free</t>
        </is>
      </c>
      <c r="D5" s="126" t="n">
        <v>0.0008821759259259259</v>
      </c>
      <c r="E5" s="45" t="n">
        <v>45990</v>
      </c>
      <c r="F5" s="211" t="inlineStr">
        <is>
          <t>100+</t>
        </is>
      </c>
      <c r="G5" s="149" t="n">
        <v>0.0007777777777777778</v>
      </c>
      <c r="H5" s="23">
        <f>IFERROR(IF(G5-D5&gt;0, TEXT(ABS(G5-D5), "MM:SS.00"), "-" &amp; TEXT(ABS(G5-D5), "MM:SS.00")),"-")</f>
        <v/>
      </c>
      <c r="I5" s="174" t="n">
        <v>0.0008171296296296296</v>
      </c>
      <c r="J5" s="177">
        <f>IFERROR(IF(I5-D5&gt;0, TEXT(ABS(I5-D5), "MM:SS.00"), "-" &amp; TEXT(ABS(I5-D5), "MM:SS.00")),"-")</f>
        <v/>
      </c>
      <c r="K5" s="169">
        <f>IF(OR(D5&lt;=G5,D22&lt;=G22),"Q",IF(OR(D5&lt;=I5,D22&lt;=I22),"C",""))</f>
        <v/>
      </c>
      <c r="L5" s="234" t="n">
        <v>17</v>
      </c>
      <c r="M5" s="152" t="n">
        <v>0.0007233796296296296</v>
      </c>
      <c r="N5" s="34">
        <f>IFERROR(IF(M5-D5&gt;0, TEXT(ABS(M5-D5), "MM:SS.00"), "-" &amp; TEXT(ABS(M5-D5), "MM:SS.00")),"-")</f>
        <v/>
      </c>
      <c r="O5" s="180" t="n">
        <v>0.0007604166666666667</v>
      </c>
      <c r="P5" s="153">
        <f>IFERROR(IF(O5-D5&gt;0, TEXT(ABS(O5-D5), "MM:SS.00"), "-" &amp; TEXT(ABS(O5-D5), "MM:SS.00")),"-")</f>
        <v/>
      </c>
      <c r="Q5" s="169">
        <f>IF(OR(D5&lt;=M5,D22&lt;=M22),"Q",IF(OR(D5&lt;=O5,D22&lt;=O22),"C",""))</f>
        <v/>
      </c>
      <c r="R5" s="230" t="n">
        <v>44</v>
      </c>
      <c r="S5" s="39" t="n"/>
      <c r="T5" s="39" t="n"/>
      <c r="U5" s="40" t="n"/>
      <c r="V5" s="61" t="n"/>
      <c r="W5" s="66" t="n"/>
      <c r="X5" s="102" t="n"/>
      <c r="Y5" s="102" t="n"/>
      <c r="Z5" s="95" t="n"/>
      <c r="AA5" s="102" t="n"/>
      <c r="AB5" s="102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122" t="n"/>
      <c r="AO5" s="64" t="n"/>
      <c r="AP5" s="64" t="n"/>
      <c r="AQ5" s="64" t="n"/>
      <c r="AR5" s="64" t="n"/>
      <c r="AS5" s="64" t="n"/>
      <c r="AT5" s="64" t="n"/>
      <c r="AU5" s="64" t="n"/>
      <c r="AV5" s="64" t="n"/>
    </row>
    <row r="6" ht="18" customHeight="1" s="224">
      <c r="B6" s="14" t="inlineStr">
        <is>
          <t>S</t>
        </is>
      </c>
      <c r="C6" s="5" t="inlineStr">
        <is>
          <t>200 Free</t>
        </is>
      </c>
      <c r="D6" s="126" t="n">
        <v>0.001940277777777778</v>
      </c>
      <c r="E6" s="45" t="n">
        <v>45991</v>
      </c>
      <c r="F6" s="211" t="inlineStr">
        <is>
          <t>100+</t>
        </is>
      </c>
      <c r="G6" s="149" t="n">
        <v>0.001650462962962963</v>
      </c>
      <c r="H6" s="23">
        <f>IFERROR(IF(G6-D6&gt;0, TEXT(ABS(G6-D6), "MM:SS.00"), "-" &amp; TEXT(ABS(G6-D6), "MM:SS.00")),"-")</f>
        <v/>
      </c>
      <c r="I6" s="174" t="n">
        <v>0.001780092592592593</v>
      </c>
      <c r="J6" s="177">
        <f>IFERROR(IF(I6-D6&gt;0, TEXT(ABS(I6-D6), "MM:SS.00"), "-" &amp; TEXT(ABS(I6-D6), "MM:SS.00")),"-")</f>
        <v/>
      </c>
      <c r="K6" s="169">
        <f>IF(OR(D6&lt;=G6,D23&lt;=G23),"Q",IF(OR(D6&lt;=I6,D23&lt;=I23),"C",""))</f>
        <v/>
      </c>
      <c r="L6" s="234" t="n">
        <v>17</v>
      </c>
      <c r="M6" s="152" t="n">
        <v>0.001565972222222222</v>
      </c>
      <c r="N6" s="34">
        <f>IFERROR(IF(M6-D6&gt;0, TEXT(ABS(M6-D6), "MM:SS.00"), "-" &amp; TEXT(ABS(M6-D6), "MM:SS.00")),"-")</f>
        <v/>
      </c>
      <c r="O6" s="180" t="n">
        <v>0.001646990740740741</v>
      </c>
      <c r="P6" s="153">
        <f>IFERROR(IF(O6-D6&gt;0, TEXT(ABS(O6-D6), "MM:SS.00"), "-" &amp; TEXT(ABS(O6-D6), "MM:SS.00")),"-")</f>
        <v/>
      </c>
      <c r="Q6" s="169">
        <f>IF(OR(D6&lt;=M6,D23&lt;=M23),"Q",IF(OR(D6&lt;=O6,D23&lt;=O23),"C",""))</f>
        <v/>
      </c>
      <c r="R6" s="230" t="n">
        <v>31</v>
      </c>
      <c r="S6" s="39" t="n"/>
      <c r="T6" s="39" t="n"/>
      <c r="U6" s="40" t="n"/>
      <c r="V6" s="61" t="n"/>
      <c r="W6" s="66" t="n"/>
      <c r="X6" s="102" t="n"/>
      <c r="Y6" s="102" t="n"/>
      <c r="Z6" s="95" t="n"/>
      <c r="AA6" s="102" t="n"/>
      <c r="AB6" s="102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</row>
    <row r="7" ht="18" customHeight="1" s="224">
      <c r="B7" s="14" t="inlineStr">
        <is>
          <t>S</t>
        </is>
      </c>
      <c r="C7" s="5" t="inlineStr">
        <is>
          <t>400 Free</t>
        </is>
      </c>
      <c r="D7" s="126" t="n">
        <v>0.003983912037037037</v>
      </c>
      <c r="E7" s="45" t="n">
        <v>45970</v>
      </c>
      <c r="F7" s="211" t="n">
        <v>97</v>
      </c>
      <c r="G7" s="149" t="n">
        <v>0.003451388888888889</v>
      </c>
      <c r="H7" s="23">
        <f>IFERROR(IF(G7-D7&gt;0, TEXT(ABS(G7-D7), "MM:SS.00"), "-" &amp; TEXT(ABS(G7-D7), "MM:SS.00")),"-")</f>
        <v/>
      </c>
      <c r="I7" s="174" t="n">
        <v>0.003587962962962963</v>
      </c>
      <c r="J7" s="177">
        <f>IFERROR(IF(I7-D7&gt;0, TEXT(ABS(I7-D7), "MM:SS.00"), "-" &amp; TEXT(ABS(I7-D7), "MM:SS.00")),"-")</f>
        <v/>
      </c>
      <c r="K7" s="169">
        <f>IF(OR(D7&lt;=G7,D24&lt;=G24),"Q",IF(OR(D7&lt;=I7,D24&lt;=I24),"C",""))</f>
        <v/>
      </c>
      <c r="L7" s="234" t="n">
        <v>10</v>
      </c>
      <c r="M7" s="152" t="n">
        <v>0.003283564814814815</v>
      </c>
      <c r="N7" s="34">
        <f>IFERROR(IF(M7-D7&gt;0, TEXT(ABS(M7-D7), "MM:SS.00"), "-" &amp; TEXT(ABS(M7-D7), "MM:SS.00")),"-")</f>
        <v/>
      </c>
      <c r="O7" s="180" t="n">
        <v>0.003452546296296296</v>
      </c>
      <c r="P7" s="153">
        <f>IFERROR(IF(O7-D7&gt;0, TEXT(ABS(O7-D7), "MM:SS.00"), "-" &amp; TEXT(ABS(O7-D7), "MM:SS.00")),"-")</f>
        <v/>
      </c>
      <c r="Q7" s="169">
        <f>IF(OR(D7&lt;=M7,D24&lt;=M24),"Q",IF(OR(D7&lt;=O7,D24&lt;=O24),"C",""))</f>
        <v/>
      </c>
      <c r="R7" s="230" t="n">
        <v>19</v>
      </c>
      <c r="S7" s="39" t="n"/>
      <c r="T7" s="39" t="n"/>
      <c r="U7" s="40" t="n"/>
      <c r="V7" s="61" t="n"/>
      <c r="W7" s="66" t="n"/>
      <c r="X7" s="102" t="n"/>
      <c r="Y7" s="102" t="n"/>
      <c r="Z7" s="95" t="n"/>
      <c r="AA7" s="102" t="n"/>
      <c r="AB7" s="102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122" t="n"/>
      <c r="AO7" s="64" t="n"/>
      <c r="AP7" s="64" t="n"/>
      <c r="AQ7" s="64" t="n"/>
      <c r="AR7" s="64" t="n"/>
      <c r="AS7" s="64" t="n"/>
      <c r="AT7" s="64" t="n"/>
      <c r="AU7" s="64" t="n"/>
      <c r="AV7" s="64" t="n"/>
    </row>
    <row r="8" ht="18" customHeight="1" s="224">
      <c r="B8" s="14" t="inlineStr">
        <is>
          <t>S</t>
        </is>
      </c>
      <c r="C8" s="5" t="inlineStr">
        <is>
          <t>800 Free</t>
        </is>
      </c>
      <c r="D8" s="126" t="n">
        <v>0.008078703703703704</v>
      </c>
      <c r="E8" s="45" t="n">
        <v>45968</v>
      </c>
      <c r="F8" s="211" t="n">
        <v>97</v>
      </c>
      <c r="G8" s="149" t="n">
        <v>0.007537037037037037</v>
      </c>
      <c r="H8" s="23">
        <f>IFERROR(IF(G8-D8&gt;0, TEXT(ABS(G8-D8), "MM:SS.00"), "-" &amp; TEXT(ABS(G8-D8), "MM:SS.00")),"-")</f>
        <v/>
      </c>
      <c r="I8" s="174" t="n">
        <v>0.007748842592592593</v>
      </c>
      <c r="J8" s="177">
        <f>IFERROR(IF(I8-D8&gt;0, TEXT(ABS(I8-D8), "MM:SS.00"), "-" &amp; TEXT(ABS(I8-D8), "MM:SS.00")),"-")</f>
        <v/>
      </c>
      <c r="K8" s="169">
        <f>IF(OR(D8&lt;=G8,D25&lt;=G25),"Q",IF(OR(D8&lt;=I8,D25&lt;=I25),"C",""))</f>
        <v/>
      </c>
      <c r="L8" s="234" t="n">
        <v>2</v>
      </c>
      <c r="M8" s="152" t="n">
        <v>0.006765046296296296</v>
      </c>
      <c r="N8" s="34">
        <f>IFERROR(IF(M8-D8&gt;0, TEXT(ABS(M8-D8), "MM:SS.00"), "-" &amp; TEXT(ABS(M8-D8), "MM:SS.00")),"-")</f>
        <v/>
      </c>
      <c r="O8" s="180" t="n">
        <v>0.007114583333333334</v>
      </c>
      <c r="P8" s="153">
        <f>IFERROR(IF(O8-D8&gt;0, TEXT(ABS(O8-D8), "MM:SS.00"), "-" &amp; TEXT(ABS(O8-D8), "MM:SS.00")),"-")</f>
        <v/>
      </c>
      <c r="Q8" s="169">
        <f>IF(OR(D8&lt;=M8,D25&lt;=M25),"Q",IF(OR(D8&lt;=O8,D25&lt;=O25),"C",""))</f>
        <v/>
      </c>
      <c r="R8" s="230" t="n"/>
      <c r="S8" s="39" t="n"/>
      <c r="T8" s="39" t="n"/>
      <c r="U8" s="40" t="n"/>
      <c r="V8" s="61" t="n"/>
      <c r="W8" s="66" t="n"/>
      <c r="X8" s="102" t="n"/>
      <c r="Y8" s="102" t="n"/>
      <c r="Z8" s="95" t="n"/>
      <c r="AA8" s="102" t="n"/>
      <c r="AB8" s="102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122" t="n"/>
      <c r="AR8" s="64" t="n"/>
      <c r="AS8" s="64" t="n"/>
      <c r="AT8" s="64" t="n"/>
      <c r="AU8" s="64" t="n"/>
      <c r="AV8" s="64" t="n"/>
    </row>
    <row r="9" ht="18" customHeight="1" s="224">
      <c r="B9" s="14" t="inlineStr">
        <is>
          <t>S</t>
        </is>
      </c>
      <c r="C9" s="5" t="inlineStr">
        <is>
          <t>1500 Free</t>
        </is>
      </c>
      <c r="D9" s="126" t="inlineStr">
        <is>
          <t>-</t>
        </is>
      </c>
      <c r="E9" s="45" t="n"/>
      <c r="F9" s="211" t="n">
        <v>97</v>
      </c>
      <c r="G9" s="149" t="n">
        <v>0.01353472222222222</v>
      </c>
      <c r="H9" s="23">
        <f>IFERROR(IF(G9-D9&gt;0, TEXT(ABS(G9-D9), "MM:SS.00"), "-" &amp; TEXT(ABS(G9-D9), "MM:SS.00")),"-")</f>
        <v/>
      </c>
      <c r="I9" s="174" t="n">
        <v>0.01362268518518519</v>
      </c>
      <c r="J9" s="177">
        <f>IFERROR(IF(I9-D9&gt;0, TEXT(ABS(I9-D9), "MM:SS.00"), "-" &amp; TEXT(ABS(I9-D9), "MM:SS.00")),"-")</f>
        <v/>
      </c>
      <c r="K9" s="169">
        <f>IF(OR(D9&lt;=G9,D26&lt;=G26),"Q",IF(OR(D9&lt;=I9,D26&lt;=I26),"C",""))</f>
        <v/>
      </c>
      <c r="L9" s="234" t="n">
        <v>10</v>
      </c>
      <c r="M9" s="152" t="n">
        <v>0.01346412037037037</v>
      </c>
      <c r="N9" s="34">
        <f>IFERROR(IF(M9-D9&gt;0, TEXT(ABS(M9-D9), "MM:SS.00"), "-" &amp; TEXT(ABS(M9-D9), "MM:SS.00")),"-")</f>
        <v/>
      </c>
      <c r="O9" s="180" t="n">
        <v>0.01415740740740741</v>
      </c>
      <c r="P9" s="153">
        <f>IFERROR(IF(O9-D9&gt;0, TEXT(ABS(O9-D9), "MM:SS.00"), "-" &amp; TEXT(ABS(O9-D9), "MM:SS.00")),"-")</f>
        <v/>
      </c>
      <c r="Q9" s="169">
        <f>IF(OR(D9&lt;=M9,D26&lt;=M26),"Q",IF(OR(D9&lt;=O9,D26&lt;=O26),"C",""))</f>
        <v/>
      </c>
      <c r="R9" s="230" t="n"/>
      <c r="S9" s="39" t="n"/>
      <c r="T9" s="39" t="n"/>
      <c r="U9" s="40" t="n"/>
      <c r="V9" s="61" t="n"/>
      <c r="W9" s="66" t="n"/>
      <c r="X9" s="102" t="n"/>
      <c r="Y9" s="102" t="n"/>
      <c r="Z9" s="95" t="n"/>
      <c r="AA9" s="102" t="n"/>
      <c r="AB9" s="102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</row>
    <row r="10" ht="18" customHeight="1" s="224">
      <c r="A10" s="184" t="n"/>
      <c r="B10" s="14" t="inlineStr">
        <is>
          <t>S</t>
        </is>
      </c>
      <c r="C10" s="5" t="inlineStr">
        <is>
          <t>50 Back</t>
        </is>
      </c>
      <c r="D10" s="126" t="n">
        <v>0.0004322916666666667</v>
      </c>
      <c r="E10" s="45" t="n">
        <v>45851</v>
      </c>
      <c r="F10" s="211" t="n">
        <v>73</v>
      </c>
      <c r="G10" s="149" t="n">
        <v>0.0004097222222222222</v>
      </c>
      <c r="H10" s="23">
        <f>IFERROR(IF(G10-D10&gt;0, TEXT(ABS(G10-D10), "MM:SS.00"), "-" &amp; TEXT(ABS(G10-D10), "MM:SS.00")),"-")</f>
        <v/>
      </c>
      <c r="I10" s="174" t="n">
        <v>0.0004409722222222223</v>
      </c>
      <c r="J10" s="177">
        <f>IFERROR(IF(I10-D10&gt;0, TEXT(ABS(I10-D10), "MM:SS.00"), "-" &amp; TEXT(ABS(I10-D10), "MM:SS.00")),"-")</f>
        <v/>
      </c>
      <c r="K10" s="169">
        <f>IF(OR(D10&lt;=G10,D27&lt;=G27),"Q",IF(OR(D10&lt;=I10,D27&lt;=I27),"C",""))</f>
        <v/>
      </c>
      <c r="L10" s="234" t="n">
        <v>3</v>
      </c>
      <c r="M10" s="152" t="n">
        <v>0.0003854166666666666</v>
      </c>
      <c r="N10" s="34">
        <f>IFERROR(IF(M10-D10&gt;0, TEXT(ABS(M10-D10), "MM:SS.00"), "-" &amp; TEXT(ABS(M10-D10), "MM:SS.00")),"-")</f>
        <v/>
      </c>
      <c r="O10" s="180" t="n">
        <v>0.0004050925925925926</v>
      </c>
      <c r="P10" s="153">
        <f>IFERROR(IF(O10-D10&gt;0, TEXT(ABS(O10-D10), "MM:SS.00"), "-" &amp; TEXT(ABS(O10-D10), "MM:SS.00")),"-")</f>
        <v/>
      </c>
      <c r="Q10" s="169">
        <f>IF(OR(D10&lt;=M10,D27&lt;=M27),"Q",IF(OR(D10&lt;=O10,D27&lt;=O27),"C",""))</f>
        <v/>
      </c>
      <c r="R10" s="230" t="n">
        <v>7</v>
      </c>
      <c r="S10" s="39" t="n"/>
      <c r="T10" s="39" t="n"/>
      <c r="U10" s="40" t="n"/>
      <c r="V10" s="61" t="n"/>
      <c r="W10" s="66" t="n"/>
      <c r="X10" s="102" t="n"/>
      <c r="Y10" s="102" t="n"/>
      <c r="Z10" s="95" t="n"/>
      <c r="AA10" s="102" t="n"/>
      <c r="AB10" s="102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</row>
    <row r="11" ht="18" customHeight="1" s="224">
      <c r="B11" s="14" t="inlineStr">
        <is>
          <t>S</t>
        </is>
      </c>
      <c r="C11" s="5" t="inlineStr">
        <is>
          <t>100 Back</t>
        </is>
      </c>
      <c r="D11" s="126" t="n">
        <v>0.0009351851851851852</v>
      </c>
      <c r="E11" s="45" t="n">
        <v>46081</v>
      </c>
      <c r="F11" s="211" t="n">
        <v>53</v>
      </c>
      <c r="G11" s="149" t="n">
        <v>0.0008831018518518518</v>
      </c>
      <c r="H11" s="23">
        <f>IFERROR(IF(G11-D11&gt;0, TEXT(ABS(G11-D11), "MM:SS.00"), "-" &amp; TEXT(ABS(G11-D11), "MM:SS.00")),"-")</f>
        <v/>
      </c>
      <c r="I11" s="174" t="n">
        <v>0.0009328703703703703</v>
      </c>
      <c r="J11" s="177">
        <f>IFERROR(IF(I11-D11&gt;0, TEXT(ABS(I11-D11), "MM:SS.00"), "-" &amp; TEXT(ABS(I11-D11), "MM:SS.00")),"-")</f>
        <v/>
      </c>
      <c r="K11" s="169">
        <f>IF(OR(D11&lt;=G11,D28&lt;=G28),"Q",IF(OR(D11&lt;=I11,D28&lt;=I28),"C",""))</f>
        <v/>
      </c>
      <c r="L11" s="234" t="n">
        <v>4</v>
      </c>
      <c r="M11" s="152" t="n">
        <v>0.0008333333333333334</v>
      </c>
      <c r="N11" s="34">
        <f>IFERROR(IF(M11-D11&gt;0, TEXT(ABS(M11-D11), "MM:SS.00"), "-" &amp; TEXT(ABS(M11-D11), "MM:SS.00")),"-")</f>
        <v/>
      </c>
      <c r="O11" s="180" t="n">
        <v>0.0008761574074074074</v>
      </c>
      <c r="P11" s="153">
        <f>IFERROR(IF(O11-D11&gt;0, TEXT(ABS(O11-D11), "MM:SS.00"), "-" &amp; TEXT(ABS(O11-D11), "MM:SS.00")),"-")</f>
        <v/>
      </c>
      <c r="Q11" s="169">
        <f>IF(OR(D11&lt;=M11,D28&lt;=M28),"Q",IF(OR(D11&lt;=O11,D28&lt;=O28),"C",""))</f>
        <v/>
      </c>
      <c r="R11" s="230" t="n">
        <v>8</v>
      </c>
      <c r="S11" s="39" t="n"/>
      <c r="T11" s="39" t="n"/>
      <c r="U11" s="40" t="n"/>
      <c r="V11" s="61" t="n"/>
      <c r="W11" s="66" t="n"/>
      <c r="X11" s="102" t="n"/>
      <c r="Y11" s="102" t="n"/>
      <c r="Z11" s="95" t="n"/>
      <c r="AA11" s="102" t="n"/>
      <c r="AB11" s="102" t="n"/>
      <c r="AC11" s="64" t="n"/>
      <c r="AD11" s="64" t="n"/>
      <c r="AE11" s="64" t="n"/>
      <c r="AF11" s="64" t="n"/>
      <c r="AG11" s="64" t="n"/>
      <c r="AH11" s="122" t="n"/>
      <c r="AI11" s="122" t="n"/>
      <c r="AJ11" s="122" t="n"/>
      <c r="AK11" s="134" t="n"/>
      <c r="AL11" s="134" t="n"/>
      <c r="AM11" s="134" t="n"/>
      <c r="AN11" s="134" t="n"/>
      <c r="AO11" s="134" t="n"/>
      <c r="AP11" s="134" t="n"/>
      <c r="AQ11" s="134" t="n"/>
      <c r="AR11" s="134" t="n"/>
      <c r="AS11" s="134" t="n"/>
      <c r="AT11" s="134" t="n"/>
      <c r="AU11" s="134" t="n"/>
      <c r="AV11" s="134" t="n"/>
    </row>
    <row r="12" ht="18" customHeight="1" s="224">
      <c r="B12" s="14" t="inlineStr">
        <is>
          <t>S</t>
        </is>
      </c>
      <c r="C12" s="5" t="inlineStr">
        <is>
          <t>200 Back</t>
        </is>
      </c>
      <c r="D12" s="126" t="n">
        <v>0.002012962962962963</v>
      </c>
      <c r="E12" s="45" t="n">
        <v>45991</v>
      </c>
      <c r="F12" s="211" t="inlineStr">
        <is>
          <t>100+</t>
        </is>
      </c>
      <c r="G12" s="149" t="n">
        <v>0.001856481481481482</v>
      </c>
      <c r="H12" s="23">
        <f>IFERROR(IF(G12-D12&gt;0, TEXT(ABS(G12-D12), "MM:SS.00"), "-" &amp; TEXT(ABS(G12-D12), "MM:SS.00")),"-")</f>
        <v/>
      </c>
      <c r="I12" s="174" t="n">
        <v>0.002002314814814815</v>
      </c>
      <c r="J12" s="177">
        <f>IFERROR(IF(I12-D12&gt;0, TEXT(ABS(I12-D12), "MM:SS.00"), "-" &amp; TEXT(ABS(I12-D12), "MM:SS.00")),"-")</f>
        <v/>
      </c>
      <c r="K12" s="169">
        <f>IF(OR(D12&lt;=G12,D29&lt;=G29),"Q",IF(OR(D12&lt;=I12,D29&lt;=I29),"C",""))</f>
        <v/>
      </c>
      <c r="L12" s="234" t="n">
        <v>7</v>
      </c>
      <c r="M12" s="152" t="n">
        <v>0.001791666666666667</v>
      </c>
      <c r="N12" s="34">
        <f>IFERROR(IF(M12-D12&gt;0, TEXT(ABS(M12-D12), "MM:SS.00"), "-" &amp; TEXT(ABS(M12-D12), "MM:SS.00")),"-")</f>
        <v/>
      </c>
      <c r="O12" s="180" t="n">
        <v>0.001884259259259259</v>
      </c>
      <c r="P12" s="153">
        <f>IFERROR(IF(O12-D12&gt;0, TEXT(ABS(O12-D12), "MM:SS.00"), "-" &amp; TEXT(ABS(O12-D12), "MM:SS.00")),"-")</f>
        <v/>
      </c>
      <c r="Q12" s="169">
        <f>IF(OR(D12&lt;=M12,D29&lt;=M29),"Q",IF(OR(D12&lt;=O12,D29&lt;=O29),"C",""))</f>
        <v/>
      </c>
      <c r="R12" s="230" t="n"/>
      <c r="S12" s="39" t="n"/>
      <c r="T12" s="39" t="n"/>
      <c r="U12" s="40" t="n"/>
      <c r="V12" s="61" t="n"/>
      <c r="W12" s="66" t="n"/>
      <c r="X12" s="102" t="n"/>
      <c r="Y12" s="102" t="n"/>
      <c r="Z12" s="95" t="n"/>
      <c r="AA12" s="102" t="n"/>
      <c r="AB12" s="102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139" t="n"/>
      <c r="AR12" s="64" t="n"/>
      <c r="AS12" s="64" t="n"/>
      <c r="AT12" s="64" t="n"/>
      <c r="AU12" s="64" t="n"/>
      <c r="AV12" s="64" t="n"/>
    </row>
    <row r="13" ht="18" customHeight="1" s="224">
      <c r="B13" s="14" t="inlineStr">
        <is>
          <t>S</t>
        </is>
      </c>
      <c r="C13" s="5" t="inlineStr">
        <is>
          <t>50 Breast</t>
        </is>
      </c>
      <c r="D13" s="126" t="n">
        <v>0.0005456018518518519</v>
      </c>
      <c r="E13" s="45" t="n">
        <v>45990</v>
      </c>
      <c r="F13" s="211" t="inlineStr">
        <is>
          <t>100+</t>
        </is>
      </c>
      <c r="G13" s="149" t="n">
        <v>0.0004594907407407408</v>
      </c>
      <c r="H13" s="23">
        <f>IFERROR(IF(G13-D13&gt;0, TEXT(ABS(G13-D13), "MM:SS.00"), "-" &amp; TEXT(ABS(G13-D13), "MM:SS.00")),"-")</f>
        <v/>
      </c>
      <c r="I13" s="174" t="n">
        <v>0.0004976851851851852</v>
      </c>
      <c r="J13" s="177">
        <f>IFERROR(IF(I13-D13&gt;0, TEXT(ABS(I13-D13), "MM:SS.00"), "-" &amp; TEXT(ABS(I13-D13), "MM:SS.00")),"-")</f>
        <v/>
      </c>
      <c r="K13" s="169">
        <f>IF(OR(D13&lt;=G13,D30&lt;=G30),"Q",IF(OR(D13&lt;=I13,D30&lt;=I30),"C",""))</f>
        <v/>
      </c>
      <c r="L13" s="234" t="n">
        <v>12</v>
      </c>
      <c r="M13" s="152" t="n">
        <v>0.0004328703703703704</v>
      </c>
      <c r="N13" s="34">
        <f>IFERROR(IF(M13-D13&gt;0, TEXT(ABS(M13-D13), "MM:SS.00"), "-" &amp; TEXT(ABS(M13-D13), "MM:SS.00")),"-")</f>
        <v/>
      </c>
      <c r="O13" s="180" t="n">
        <v>0.0004548611111111111</v>
      </c>
      <c r="P13" s="153">
        <f>IFERROR(IF(O13-D13&gt;0, TEXT(ABS(O13-D13), "MM:SS.00"), "-" &amp; TEXT(ABS(O13-D13), "MM:SS.00")),"-")</f>
        <v/>
      </c>
      <c r="Q13" s="169">
        <f>IF(OR(D13&lt;=M13,D30&lt;=M30),"Q",IF(OR(D13&lt;=O13,D30&lt;=O30),"C",""))</f>
        <v/>
      </c>
      <c r="R13" s="230" t="inlineStr">
        <is>
          <t>100+</t>
        </is>
      </c>
      <c r="S13" s="39" t="n"/>
      <c r="T13" s="39" t="n"/>
      <c r="U13" s="40" t="n"/>
      <c r="V13" s="61" t="n"/>
      <c r="W13" s="66" t="n"/>
      <c r="X13" s="102" t="n"/>
      <c r="Y13" s="102" t="n"/>
      <c r="Z13" s="95" t="n"/>
      <c r="AA13" s="102" t="n"/>
      <c r="AB13" s="102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122" t="n"/>
      <c r="AO13" s="64" t="n"/>
      <c r="AP13" s="64" t="n"/>
      <c r="AQ13" s="136" t="n"/>
      <c r="AR13" s="64" t="n"/>
      <c r="AS13" s="64" t="n"/>
      <c r="AT13" s="64" t="n"/>
      <c r="AU13" s="64" t="n"/>
      <c r="AV13" s="64" t="n"/>
    </row>
    <row r="14" ht="18" customHeight="1" s="224">
      <c r="B14" s="14" t="inlineStr">
        <is>
          <t>S</t>
        </is>
      </c>
      <c r="C14" s="5" t="inlineStr">
        <is>
          <t>100 Breast</t>
        </is>
      </c>
      <c r="D14" s="126" t="n">
        <v>0.001230555555555555</v>
      </c>
      <c r="E14" s="45" t="n">
        <v>45787</v>
      </c>
      <c r="F14" s="211" t="inlineStr">
        <is>
          <t>100+</t>
        </is>
      </c>
      <c r="G14" s="149" t="n">
        <v>0.00102662037037037</v>
      </c>
      <c r="H14" s="23">
        <f>IFERROR(IF(G14-D14&gt;0, TEXT(ABS(G14-D14), "MM:SS.00"), "-" &amp; TEXT(ABS(G14-D14), "MM:SS.00")),"-")</f>
        <v/>
      </c>
      <c r="I14" s="174" t="n">
        <v>0.001097222222222222</v>
      </c>
      <c r="J14" s="177">
        <f>IFERROR(IF(I14-D14&gt;0, TEXT(ABS(I14-D14), "MM:SS.00"), "-" &amp; TEXT(ABS(I14-D14), "MM:SS.00")),"-")</f>
        <v/>
      </c>
      <c r="K14" s="169">
        <f>IF(OR(D14&lt;=G14,D31&lt;=G31),"Q",IF(OR(D14&lt;=I14,D31&lt;=I31),"C",""))</f>
        <v/>
      </c>
      <c r="L14" s="234" t="n">
        <v>25</v>
      </c>
      <c r="M14" s="152" t="n">
        <v>0.0009537037037037038</v>
      </c>
      <c r="N14" s="34">
        <f>IFERROR(IF(M14-D14&gt;0, TEXT(ABS(M14-D14), "MM:SS.00"), "-" &amp; TEXT(ABS(M14-D14), "MM:SS.00")),"-")</f>
        <v/>
      </c>
      <c r="O14" s="180" t="n">
        <v>0.001003472222222222</v>
      </c>
      <c r="P14" s="153">
        <f>IFERROR(IF(O14-D14&gt;0, TEXT(ABS(O14-D14), "MM:SS.00"), "-" &amp; TEXT(ABS(O14-D14), "MM:SS.00")),"-")</f>
        <v/>
      </c>
      <c r="Q14" s="169">
        <f>IF(OR(D14&lt;=M14,D31&lt;=M31),"Q",IF(OR(D14&lt;=O14,D31&lt;=O31),"C",""))</f>
        <v/>
      </c>
      <c r="R14" s="230" t="n">
        <v>54</v>
      </c>
      <c r="S14" s="39" t="n"/>
      <c r="T14" s="39" t="n"/>
      <c r="U14" s="40" t="n"/>
      <c r="V14" s="61" t="n"/>
      <c r="W14" s="66" t="n"/>
      <c r="X14" s="102" t="n"/>
      <c r="Y14" s="102" t="n"/>
      <c r="Z14" s="95" t="n"/>
      <c r="AA14" s="102" t="n"/>
      <c r="AB14" s="102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122" t="n"/>
      <c r="AR14" s="64" t="n"/>
      <c r="AS14" s="64" t="n"/>
      <c r="AT14" s="64" t="n"/>
      <c r="AU14" s="64" t="n"/>
      <c r="AV14" s="64" t="n"/>
    </row>
    <row r="15" ht="18" customHeight="1" s="224">
      <c r="B15" s="14" t="inlineStr">
        <is>
          <t>S</t>
        </is>
      </c>
      <c r="C15" s="5" t="inlineStr">
        <is>
          <t>200 Breast</t>
        </is>
      </c>
      <c r="D15" s="126" t="inlineStr">
        <is>
          <t>-</t>
        </is>
      </c>
      <c r="E15" s="45" t="n"/>
      <c r="F15" s="211" t="n">
        <v>97</v>
      </c>
      <c r="G15" s="149" t="n">
        <v>0.002208333333333333</v>
      </c>
      <c r="H15" s="23">
        <f>IFERROR(IF(G15-D15&gt;0, TEXT(ABS(G15-D15), "MM:SS.00"), "-" &amp; TEXT(ABS(G15-D15), "MM:SS.00")),"-")</f>
        <v/>
      </c>
      <c r="I15" s="174" t="n">
        <v>0.00233912037037037</v>
      </c>
      <c r="J15" s="177">
        <f>IFERROR(IF(I15-D15&gt;0, TEXT(ABS(I15-D15), "MM:SS.00"), "-" &amp; TEXT(ABS(I15-D15), "MM:SS.00")),"-")</f>
        <v/>
      </c>
      <c r="K15" s="169">
        <f>IF(OR(D15&lt;=G15,D32&lt;=G32),"Q",IF(OR(D15&lt;=I15,D32&lt;=I32),"C",""))</f>
        <v/>
      </c>
      <c r="L15" s="234" t="n">
        <v>10</v>
      </c>
      <c r="M15" s="152" t="n">
        <v>0.002032407407407407</v>
      </c>
      <c r="N15" s="34">
        <f>IFERROR(IF(M15-D15&gt;0, TEXT(ABS(M15-D15), "MM:SS.00"), "-" &amp; TEXT(ABS(M15-D15), "MM:SS.00")),"-")</f>
        <v/>
      </c>
      <c r="O15" s="180" t="n">
        <v>0.002137731481481481</v>
      </c>
      <c r="P15" s="153">
        <f>IFERROR(IF(O15-D15&gt;0, TEXT(ABS(O15-D15), "MM:SS.00"), "-" &amp; TEXT(ABS(O15-D15), "MM:SS.00")),"-")</f>
        <v/>
      </c>
      <c r="Q15" s="169">
        <f>IF(OR(D15&lt;=M15,D32&lt;=M32),"Q",IF(OR(D15&lt;=O15,D32&lt;=O32),"C",""))</f>
        <v/>
      </c>
      <c r="R15" s="230" t="n"/>
      <c r="S15" s="39" t="n"/>
      <c r="T15" s="39" t="n"/>
      <c r="U15" s="40" t="n"/>
      <c r="V15" s="61" t="n"/>
      <c r="W15" s="66" t="n"/>
      <c r="X15" s="102" t="n"/>
      <c r="Y15" s="102" t="n"/>
      <c r="Z15" s="95" t="n"/>
      <c r="AA15" s="102" t="n"/>
      <c r="AB15" s="102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</row>
    <row r="16" ht="18" customHeight="1" s="224">
      <c r="A16" s="184" t="n"/>
      <c r="B16" s="14" t="inlineStr">
        <is>
          <t>S</t>
        </is>
      </c>
      <c r="C16" s="5" t="inlineStr">
        <is>
          <t>50 Fly</t>
        </is>
      </c>
      <c r="D16" s="126" t="n">
        <v>0.0004188657407407407</v>
      </c>
      <c r="E16" s="45" t="n">
        <v>45934</v>
      </c>
      <c r="F16" s="211" t="n">
        <v>63</v>
      </c>
      <c r="G16" s="149" t="n">
        <v>0.0003761574074074074</v>
      </c>
      <c r="H16" s="23">
        <f>IFERROR(IF(G16-D16&gt;0, TEXT(ABS(G16-D16), "MM:SS.00"), "-" &amp; TEXT(ABS(G16-D16), "MM:SS.00")),"-")</f>
        <v/>
      </c>
      <c r="I16" s="174" t="n">
        <v>0.000412037037037037</v>
      </c>
      <c r="J16" s="177">
        <f>IFERROR(IF(I16-D16&gt;0, TEXT(ABS(I16-D16), "MM:SS.00"), "-" &amp; TEXT(ABS(I16-D16), "MM:SS.00")),"-")</f>
        <v/>
      </c>
      <c r="K16" s="169">
        <f>IF(OR(D16&lt;=G16,D33&lt;=G33),"Q",IF(OR(D16&lt;=I16,D33&lt;=I33),"C",""))</f>
        <v/>
      </c>
      <c r="L16" s="234" t="n">
        <v>6</v>
      </c>
      <c r="M16" s="152" t="n">
        <v>0.0003680555555555556</v>
      </c>
      <c r="N16" s="34">
        <f>IFERROR(IF(M16-D16&gt;0, TEXT(ABS(M16-D16), "MM:SS.00"), "-" &amp; TEXT(ABS(M16-D16), "MM:SS.00")),"-")</f>
        <v/>
      </c>
      <c r="O16" s="180" t="n">
        <v>0.0003865740740740741</v>
      </c>
      <c r="P16" s="153">
        <f>IFERROR(IF(O16-D16&gt;0, TEXT(ABS(O16-D16), "MM:SS.00"), "-" &amp; TEXT(ABS(O16-D16), "MM:SS.00")),"-")</f>
        <v/>
      </c>
      <c r="Q16" s="169">
        <f>IF(OR(D16&lt;=M16,D33&lt;=M33),"Q",IF(OR(D16&lt;=O16,D33&lt;=O33),"C",""))</f>
        <v/>
      </c>
      <c r="R16" s="230" t="n">
        <v>19</v>
      </c>
      <c r="S16" s="39" t="n"/>
      <c r="T16" s="39" t="n"/>
      <c r="U16" s="40" t="n"/>
      <c r="V16" s="61" t="n"/>
      <c r="W16" s="66" t="n"/>
      <c r="X16" s="102" t="n"/>
      <c r="Y16" s="102" t="n"/>
      <c r="Z16" s="95" t="n"/>
      <c r="AA16" s="102" t="n"/>
      <c r="AB16" s="102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</row>
    <row r="17" ht="18" customHeight="1" s="224">
      <c r="A17" s="185" t="n"/>
      <c r="B17" s="14" t="inlineStr">
        <is>
          <t>S</t>
        </is>
      </c>
      <c r="C17" s="5" t="inlineStr">
        <is>
          <t>100 Fly</t>
        </is>
      </c>
      <c r="D17" s="126" t="n">
        <v>0.0009641203703703704</v>
      </c>
      <c r="E17" s="45" t="n">
        <v>46082</v>
      </c>
      <c r="F17" s="211" t="n">
        <v>65</v>
      </c>
      <c r="G17" s="149" t="n">
        <v>0.000886574074074074</v>
      </c>
      <c r="H17" s="23">
        <f>IFERROR(IF(G17-D17&gt;0, TEXT(ABS(G17-D17), "MM:SS.00"), "-" &amp; TEXT(ABS(G17-D17), "MM:SS.00")),"-")</f>
        <v/>
      </c>
      <c r="I17" s="174" t="n">
        <v>0.001009259259259259</v>
      </c>
      <c r="J17" s="177">
        <f>IFERROR(IF(I17-D17&gt;0, TEXT(ABS(I17-D17), "MM:SS.00"), "-" &amp; TEXT(ABS(I17-D17), "MM:SS.00")),"-")</f>
        <v/>
      </c>
      <c r="K17" s="169">
        <f>IF(OR(D17&lt;=G17,D34&lt;=G34),"Q",IF(OR(D17&lt;=I17,D34&lt;=I34),"C",""))</f>
        <v/>
      </c>
      <c r="L17" s="234" t="n">
        <v>15</v>
      </c>
      <c r="M17" s="152" t="n">
        <v>0.0008252314814814815</v>
      </c>
      <c r="N17" s="34">
        <f>IFERROR(IF(M17-D17&gt;0, TEXT(ABS(M17-D17), "MM:SS.00"), "-" &amp; TEXT(ABS(M17-D17), "MM:SS.00")),"-")</f>
        <v/>
      </c>
      <c r="O17" s="180" t="n">
        <v>0.0008680555555555555</v>
      </c>
      <c r="P17" s="153">
        <f>IFERROR(IF(O17-D17&gt;0, TEXT(ABS(O17-D17), "MM:SS.00"), "-" &amp; TEXT(ABS(O17-D17), "MM:SS.00")),"-")</f>
        <v/>
      </c>
      <c r="Q17" s="169">
        <f>IF(OR(D17&lt;=M17,D34&lt;=M34),"Q",IF(OR(D17&lt;=O17,D34&lt;=O34),"C",""))</f>
        <v/>
      </c>
      <c r="R17" s="230" t="n"/>
      <c r="S17" s="39" t="n"/>
      <c r="T17" s="39" t="n"/>
      <c r="U17" s="40" t="n"/>
      <c r="V17" s="61" t="n"/>
      <c r="W17" s="66" t="n"/>
      <c r="X17" s="102" t="n"/>
      <c r="Y17" s="102" t="n"/>
      <c r="Z17" s="95" t="n"/>
      <c r="AA17" s="102" t="n"/>
      <c r="AB17" s="102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</row>
    <row r="18" ht="18" customHeight="1" s="224">
      <c r="A18" s="185" t="n"/>
      <c r="B18" s="14" t="inlineStr">
        <is>
          <t>S</t>
        </is>
      </c>
      <c r="C18" s="5" t="inlineStr">
        <is>
          <t>200 Fly</t>
        </is>
      </c>
      <c r="D18" s="126" t="n">
        <v>0.002209953703703704</v>
      </c>
      <c r="E18" s="45" t="n">
        <v>46081</v>
      </c>
      <c r="F18" s="211" t="n"/>
      <c r="G18" s="149" t="n">
        <v>0.002005787037037037</v>
      </c>
      <c r="H18" s="23">
        <f>IFERROR(IF(G18-D18&gt;0, TEXT(ABS(G18-D18), "MM:SS.00"), "-" &amp; TEXT(ABS(G18-D18), "MM:SS.00")),"-")</f>
        <v/>
      </c>
      <c r="I18" s="174" t="n">
        <v>0.002373842592592592</v>
      </c>
      <c r="J18" s="177">
        <f>IFERROR(IF(I18-D18&gt;0, TEXT(ABS(I18-D18), "MM:SS.00"), "-" &amp; TEXT(ABS(I18-D18), "MM:SS.00")),"-")</f>
        <v/>
      </c>
      <c r="K18" s="169">
        <f>IF(OR(D18&lt;=G18,D35&lt;=G35),"Q",IF(OR(D18&lt;=I18,D35&lt;=I35),"C",""))</f>
        <v/>
      </c>
      <c r="L18" s="234" t="n"/>
      <c r="M18" s="152" t="n">
        <v>0.001895833333333334</v>
      </c>
      <c r="N18" s="34">
        <f>IFERROR(IF(M18-D18&gt;0, TEXT(ABS(M18-D18), "MM:SS.00"), "-" &amp; TEXT(ABS(M18-D18), "MM:SS.00")),"-")</f>
        <v/>
      </c>
      <c r="O18" s="180" t="n">
        <v>0.001993055555555556</v>
      </c>
      <c r="P18" s="153">
        <f>IFERROR(IF(O18-D18&gt;0, TEXT(ABS(O18-D18), "MM:SS.00"), "-" &amp; TEXT(ABS(O18-D18), "MM:SS.00")),"-")</f>
        <v/>
      </c>
      <c r="Q18" s="169">
        <f>IF(OR(D18&lt;=M18,D35&lt;=M35),"Q",IF(OR(D18&lt;=O18,D35&lt;=O35),"C",""))</f>
        <v/>
      </c>
      <c r="R18" s="230" t="n"/>
      <c r="S18" s="39" t="n"/>
      <c r="T18" s="39" t="n"/>
      <c r="U18" s="40" t="n"/>
      <c r="V18" s="61" t="n"/>
      <c r="W18" s="66" t="n"/>
      <c r="X18" s="102" t="n"/>
      <c r="Y18" s="102" t="n"/>
      <c r="Z18" s="95" t="n"/>
      <c r="AA18" s="102" t="n"/>
      <c r="AB18" s="102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</row>
    <row r="19" ht="18" customHeight="1" s="224">
      <c r="A19" s="185" t="n"/>
      <c r="B19" s="14" t="inlineStr">
        <is>
          <t>S</t>
        </is>
      </c>
      <c r="C19" s="5" t="inlineStr">
        <is>
          <t>100 IM</t>
        </is>
      </c>
      <c r="D19" s="126" t="n">
        <v>0.001007986111111111</v>
      </c>
      <c r="E19" s="45" t="n">
        <v>45837</v>
      </c>
      <c r="F19" s="211" t="inlineStr">
        <is>
          <t>100+</t>
        </is>
      </c>
      <c r="G19" s="154" t="inlineStr">
        <is>
          <t>-</t>
        </is>
      </c>
      <c r="H19" s="23">
        <f>IFERROR(IF(G19-D19&gt;0, TEXT(ABS(G19-D19), "MM:SS.00"), "-" &amp; TEXT(ABS(G19-D19), "MM:SS.00")),"-")</f>
        <v/>
      </c>
      <c r="I19" s="172" t="n"/>
      <c r="J19" s="177" t="n"/>
      <c r="K19" s="169" t="n"/>
      <c r="L19" s="234" t="n">
        <v>9</v>
      </c>
      <c r="M19" s="155" t="inlineStr">
        <is>
          <t>-</t>
        </is>
      </c>
      <c r="N19" s="34" t="n"/>
      <c r="O19" s="180" t="n"/>
      <c r="P19" s="153" t="inlineStr">
        <is>
          <t>-</t>
        </is>
      </c>
      <c r="Q19" s="169" t="n"/>
      <c r="R19" s="230" t="n">
        <v>18</v>
      </c>
      <c r="S19" s="39" t="n"/>
      <c r="T19" s="39" t="n"/>
      <c r="U19" s="40" t="n"/>
      <c r="V19" s="61" t="n"/>
      <c r="W19" s="67" t="n"/>
      <c r="X19" s="102" t="n"/>
      <c r="Y19" s="102" t="n"/>
      <c r="Z19" s="95" t="n"/>
      <c r="AA19" s="102" t="n"/>
      <c r="AB19" s="102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</row>
    <row r="20" ht="18" customHeight="1" s="224" thickBot="1">
      <c r="A20" s="184" t="n"/>
      <c r="B20" s="68" t="inlineStr">
        <is>
          <t>S</t>
        </is>
      </c>
      <c r="C20" s="7" t="inlineStr">
        <is>
          <t>200 IM</t>
        </is>
      </c>
      <c r="D20" s="127" t="n">
        <v>0.002119097222222222</v>
      </c>
      <c r="E20" s="45" t="n">
        <v>45991</v>
      </c>
      <c r="F20" s="212" t="inlineStr">
        <is>
          <t>100+</t>
        </is>
      </c>
      <c r="G20" s="159" t="n">
        <v>0.001903935185185185</v>
      </c>
      <c r="H20" s="26">
        <f>IFERROR(IF(G20-D20&gt;0, TEXT(ABS(G20-D20), "MM:SS.00"), "-" &amp; TEXT(ABS(G20-D20), "MM:SS.00")),"-")</f>
        <v/>
      </c>
      <c r="I20" s="175" t="n">
        <v>0.001978009259259259</v>
      </c>
      <c r="J20" s="178">
        <f>IFERROR(IF(I20-D20&gt;0, TEXT(ABS(I20-D20), "MM:SS.00"), "-" &amp; TEXT(ABS(I20-D20), "MM:SS.00")),"-")</f>
        <v/>
      </c>
      <c r="K20" s="170">
        <f>IF(OR(D20&lt;=G20,D37&lt;=G37),"Q",IF(OR(D20&lt;=I20,D37&lt;=I37),"C",""))</f>
        <v/>
      </c>
      <c r="L20" s="235" t="n">
        <v>9</v>
      </c>
      <c r="M20" s="156" t="n">
        <v>0.001777777777777778</v>
      </c>
      <c r="N20" s="37">
        <f>IFERROR(IF(M20-D20&gt;0, TEXT(ABS(M20-D20), "MM:SS.00"), "-" &amp; TEXT(ABS(M20-D20), "MM:SS.00")),"-")</f>
        <v/>
      </c>
      <c r="O20" s="181" t="n">
        <v>0.00187037037037037</v>
      </c>
      <c r="P20" s="157">
        <f>IFERROR(IF(O20-D20&gt;0, TEXT(ABS(O20-D20), "MM:SS.00"), "-" &amp; TEXT(ABS(O20-D20), "MM:SS.00")),"-")</f>
        <v/>
      </c>
      <c r="Q20" s="170">
        <f>IF(OR(D20&lt;=M20,D37&lt;=M37),"Q",IF(OR(D20&lt;=O20,D37&lt;=O37),"C",""))</f>
        <v/>
      </c>
      <c r="R20" s="231" t="n">
        <v>28</v>
      </c>
      <c r="S20" s="41" t="n"/>
      <c r="T20" s="41" t="n"/>
      <c r="U20" s="88" t="n"/>
      <c r="V20" s="62" t="n"/>
      <c r="W20" s="196" t="n"/>
      <c r="X20" s="105" t="n"/>
      <c r="Y20" s="105" t="n"/>
      <c r="Z20" s="96" t="n"/>
      <c r="AA20" s="105" t="n"/>
      <c r="AB20" s="105" t="n"/>
      <c r="AC20" s="65" t="n"/>
      <c r="AD20" s="65" t="n"/>
      <c r="AE20" s="65" t="n"/>
      <c r="AF20" s="65" t="n"/>
      <c r="AG20" s="65" t="n"/>
      <c r="AH20" s="65" t="n"/>
      <c r="AI20" s="65" t="n"/>
      <c r="AJ20" s="65" t="n"/>
      <c r="AK20" s="65" t="n"/>
      <c r="AL20" s="65" t="n"/>
      <c r="AM20" s="65" t="n"/>
      <c r="AN20" s="65" t="n"/>
      <c r="AO20" s="65" t="n"/>
      <c r="AP20" s="197" t="n"/>
      <c r="AQ20" s="197" t="n"/>
      <c r="AR20" s="65" t="n"/>
      <c r="AS20" s="65" t="n"/>
      <c r="AT20" s="65" t="n"/>
      <c r="AU20" s="65" t="n"/>
      <c r="AV20" s="65" t="n"/>
    </row>
    <row r="21" ht="18" customHeight="1" s="224">
      <c r="A21" s="186" t="n"/>
      <c r="B21" s="13" t="inlineStr">
        <is>
          <t>L</t>
        </is>
      </c>
      <c r="C21" s="6" t="inlineStr">
        <is>
          <t>50 Free</t>
        </is>
      </c>
      <c r="D21" s="125" t="n">
        <v>0.0004030092592592593</v>
      </c>
      <c r="E21" s="44" t="n">
        <v>46089</v>
      </c>
      <c r="F21" s="213" t="n">
        <v>66</v>
      </c>
      <c r="G21" s="158" t="n">
        <v>0.0003561342592592593</v>
      </c>
      <c r="H21" s="21">
        <f>IFERROR(IF(G21-D21&gt;0, TEXT(ABS(G21-D21), "MM:SS.00"), "-" &amp; TEXT(ABS(G21-D21), "MM:SS.00")),"-")</f>
        <v/>
      </c>
      <c r="I21" s="173" t="n">
        <v>0.0003774305555555555</v>
      </c>
      <c r="J21" s="176">
        <f>IFERROR(IF(I21-D21&gt;0, TEXT(ABS(I21-D21), "MM:SS.00"), "-" &amp; TEXT(ABS(I21-D21), "MM:SS.00")),"-")</f>
        <v/>
      </c>
      <c r="K21" s="168">
        <f>IF(OR(D4&lt;=G4,D21&lt;=G21),"Q",IF(OR(D4&lt;=I4,D21&lt;=I21),"C",""))</f>
        <v/>
      </c>
      <c r="L21" s="233" t="n">
        <v>5</v>
      </c>
      <c r="M21" s="150" t="n">
        <v>0.0003428240740740741</v>
      </c>
      <c r="N21" s="80">
        <f>IFERROR(IF(M21-D21&gt;0, TEXT(ABS(M21-D21), "MM:SS.00"), "-" &amp; TEXT(ABS(M21-D21), "MM:SS.00")),"-")</f>
        <v/>
      </c>
      <c r="O21" s="179" t="n">
        <v>0.0003599537037037037</v>
      </c>
      <c r="P21" s="183">
        <f>IFERROR(IF(O21-D21&gt;0, TEXT(ABS(O21-D21), "MM:SS.00"), "-" &amp; TEXT(ABS(O21-D21), "MM:SS.00")),"-")</f>
        <v/>
      </c>
      <c r="Q21" s="168">
        <f>IF(OR(D4&lt;=M4,D21&lt;=M21),"Q",IF(OR(D4&lt;=O4,D21&lt;=O21),"C",""))</f>
        <v/>
      </c>
      <c r="R21" s="229" t="n">
        <v>9</v>
      </c>
      <c r="S21" s="190" t="n"/>
      <c r="T21" s="190" t="n"/>
      <c r="U21" s="191" t="n"/>
      <c r="V21" s="192" t="n"/>
      <c r="W21" s="192" t="n"/>
      <c r="X21" s="101" t="n"/>
      <c r="Y21" s="101" t="n"/>
      <c r="Z21" s="99" t="n"/>
      <c r="AA21" s="101" t="n"/>
      <c r="AB21" s="99" t="n"/>
      <c r="AC21" s="193" t="n"/>
      <c r="AD21" s="193" t="n"/>
      <c r="AE21" s="193" t="n"/>
      <c r="AF21" s="193" t="n"/>
      <c r="AG21" s="193" t="n"/>
      <c r="AH21" s="193" t="n"/>
      <c r="AI21" s="193" t="n"/>
      <c r="AJ21" s="193" t="n"/>
      <c r="AK21" s="193" t="n"/>
      <c r="AL21" s="193" t="n"/>
      <c r="AM21" s="193" t="n"/>
      <c r="AN21" s="193" t="n"/>
      <c r="AO21" s="193" t="n"/>
      <c r="AP21" s="193" t="n"/>
      <c r="AQ21" s="194" t="n"/>
      <c r="AR21" s="193" t="n"/>
      <c r="AS21" s="193" t="n"/>
      <c r="AT21" s="193" t="n"/>
      <c r="AU21" s="193" t="n"/>
      <c r="AV21" s="193" t="n"/>
    </row>
    <row r="22" ht="18" customHeight="1" s="224">
      <c r="B22" s="14" t="inlineStr">
        <is>
          <t>L</t>
        </is>
      </c>
      <c r="C22" s="5" t="inlineStr">
        <is>
          <t>100 Free</t>
        </is>
      </c>
      <c r="D22" s="126" t="n">
        <v>0.0009133101851851852</v>
      </c>
      <c r="E22" s="45" t="n">
        <v>45830</v>
      </c>
      <c r="F22" s="211" t="n">
        <v>67</v>
      </c>
      <c r="G22" s="149" t="n">
        <v>0.0007916666666666668</v>
      </c>
      <c r="H22" s="23">
        <f>IFERROR(IF(G22-D22&gt;0, TEXT(ABS(G22-D22), "MM:SS.00"), "-" &amp; TEXT(ABS(G22-D22), "MM:SS.00")),"-")</f>
        <v/>
      </c>
      <c r="I22" s="174" t="n">
        <v>0.0008310185185185185</v>
      </c>
      <c r="J22" s="177">
        <f>IFERROR(IF(I22-D22&gt;0, TEXT(ABS(I22-D22), "MM:SS.00"), "-" &amp; TEXT(ABS(I22-D22), "MM:SS.00")),"-")</f>
        <v/>
      </c>
      <c r="K22" s="169">
        <f>IF(OR(D5&lt;=G5,D22&lt;=G22),"Q",IF(OR(D5&lt;=I5,D22&lt;=I22),"C",""))</f>
        <v/>
      </c>
      <c r="L22" s="234" t="n">
        <v>4</v>
      </c>
      <c r="M22" s="152" t="n">
        <v>0.0007385416666666666</v>
      </c>
      <c r="N22" s="34">
        <f>IFERROR(IF(M22-D22&gt;0, TEXT(ABS(M22-D22), "MM:SS.00"), "-" &amp; TEXT(ABS(M22-D22), "MM:SS.00")),"-")</f>
        <v/>
      </c>
      <c r="O22" s="180" t="n">
        <v>0.0007754629629629629</v>
      </c>
      <c r="P22" s="153">
        <f>IFERROR(IF(O22-D22&gt;0, TEXT(ABS(O22-D22), "MM:SS.00"), "-" &amp; TEXT(ABS(O22-D22), "MM:SS.00")),"-")</f>
        <v/>
      </c>
      <c r="Q22" s="169">
        <f>IF(OR(D5&lt;=M5,D22&lt;=M22),"Q",IF(OR(D5&lt;=O5,D22&lt;=O22),"C",""))</f>
        <v/>
      </c>
      <c r="R22" s="230" t="n">
        <v>5</v>
      </c>
      <c r="S22" s="39" t="n"/>
      <c r="T22" s="39" t="n"/>
      <c r="U22" s="40" t="n"/>
      <c r="V22" s="61" t="n"/>
      <c r="W22" s="61" t="n"/>
      <c r="X22" s="102" t="n"/>
      <c r="Y22" s="102" t="n"/>
      <c r="Z22" s="95" t="n"/>
      <c r="AA22" s="102" t="n"/>
      <c r="AB22" s="95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</row>
    <row r="23" ht="18" customHeight="1" s="224">
      <c r="B23" s="14" t="inlineStr">
        <is>
          <t>L</t>
        </is>
      </c>
      <c r="C23" s="5" t="inlineStr">
        <is>
          <t>200 Free</t>
        </is>
      </c>
      <c r="D23" s="126" t="n">
        <v>0.001982060185185185</v>
      </c>
      <c r="E23" s="45" t="n">
        <v>46068</v>
      </c>
      <c r="F23" s="211" t="n">
        <v>31</v>
      </c>
      <c r="G23" s="149" t="n">
        <v>0.001678240740740741</v>
      </c>
      <c r="H23" s="23">
        <f>IFERROR(IF(G23-D23&gt;0, TEXT(ABS(G23-D23), "MM:SS.00"), "-" &amp; TEXT(ABS(G23-D23), "MM:SS.00")),"-")</f>
        <v/>
      </c>
      <c r="I23" s="174" t="n">
        <v>0.001805555555555555</v>
      </c>
      <c r="J23" s="177">
        <f>IFERROR(IF(I23-D23&gt;0, TEXT(ABS(I23-D23), "MM:SS.00"), "-" &amp; TEXT(ABS(I23-D23), "MM:SS.00")),"-")</f>
        <v/>
      </c>
      <c r="K23" s="169">
        <f>IF(OR(D6&lt;=G6,D23&lt;=G23),"Q",IF(OR(D6&lt;=I6,D23&lt;=I23),"C",""))</f>
        <v/>
      </c>
      <c r="L23" s="234" t="n">
        <v>4</v>
      </c>
      <c r="M23" s="152" t="n">
        <v>0.001595023148148148</v>
      </c>
      <c r="N23" s="34">
        <f>IFERROR(IF(M23-D23&gt;0, TEXT(ABS(M23-D23), "MM:SS.00"), "-" &amp; TEXT(ABS(M23-D23), "MM:SS.00")),"-")</f>
        <v/>
      </c>
      <c r="O23" s="180" t="n">
        <v>0.001674768518518518</v>
      </c>
      <c r="P23" s="153">
        <f>IFERROR(IF(O23-D23&gt;0, TEXT(ABS(O23-D23), "MM:SS.00"), "-" &amp; TEXT(ABS(O23-D23), "MM:SS.00")),"-")</f>
        <v/>
      </c>
      <c r="Q23" s="169">
        <f>IF(OR(D6&lt;=M6,D23&lt;=M23),"Q",IF(OR(D6&lt;=O6,D23&lt;=O23),"C",""))</f>
        <v/>
      </c>
      <c r="R23" s="230" t="n">
        <v>6</v>
      </c>
      <c r="S23" s="39" t="n"/>
      <c r="T23" s="39" t="n"/>
      <c r="U23" s="40" t="n"/>
      <c r="V23" s="61" t="n"/>
      <c r="W23" s="61" t="n"/>
      <c r="X23" s="102" t="n"/>
      <c r="Y23" s="102" t="n"/>
      <c r="Z23" s="95" t="n"/>
      <c r="AA23" s="102" t="n"/>
      <c r="AB23" s="95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</row>
    <row r="24" ht="18" customHeight="1" s="224">
      <c r="B24" s="14" t="inlineStr">
        <is>
          <t>L</t>
        </is>
      </c>
      <c r="C24" s="5" t="inlineStr">
        <is>
          <t>400 Free</t>
        </is>
      </c>
      <c r="D24" s="126" t="n">
        <v>0.004314004629629629</v>
      </c>
      <c r="E24" s="45" t="n">
        <v>45739</v>
      </c>
      <c r="F24" s="211" t="n"/>
      <c r="G24" s="149" t="n">
        <v>0.003505787037037037</v>
      </c>
      <c r="H24" s="23">
        <f>IFERROR(IF(G24-D24&gt;0, TEXT(ABS(G24-D24), "MM:SS.00"), "-" &amp; TEXT(ABS(G24-D24), "MM:SS.00")),"-")</f>
        <v/>
      </c>
      <c r="I24" s="174" t="n">
        <v>0.003640046296296296</v>
      </c>
      <c r="J24" s="177">
        <f>IFERROR(IF(I24-D24&gt;0, TEXT(ABS(I24-D24), "MM:SS.00"), "-" &amp; TEXT(ABS(I24-D24), "MM:SS.00")),"-")</f>
        <v/>
      </c>
      <c r="K24" s="169">
        <f>IF(OR(D7&lt;=G7,D24&lt;=G24),"Q",IF(OR(D7&lt;=I7,D24&lt;=I24),"C",""))</f>
        <v/>
      </c>
      <c r="L24" s="234" t="n"/>
      <c r="M24" s="152" t="n">
        <v>0.003339930555555556</v>
      </c>
      <c r="N24" s="34">
        <f>IFERROR(IF(M24-D24&gt;0, TEXT(ABS(M24-D24), "MM:SS.00"), "-" &amp; TEXT(ABS(M24-D24), "MM:SS.00")),"-")</f>
        <v/>
      </c>
      <c r="O24" s="180" t="n">
        <v>0.003506944444444444</v>
      </c>
      <c r="P24" s="153">
        <f>IFERROR(IF(O24-D24&gt;0, TEXT(ABS(O24-D24), "MM:SS.00"), "-" &amp; TEXT(ABS(O24-D24), "MM:SS.00")),"-")</f>
        <v/>
      </c>
      <c r="Q24" s="169">
        <f>IF(OR(D7&lt;=M7,D24&lt;=M24),"Q",IF(OR(D7&lt;=O7,D24&lt;=O24),"C",""))</f>
        <v/>
      </c>
      <c r="R24" s="230" t="inlineStr">
        <is>
          <t>-</t>
        </is>
      </c>
      <c r="S24" s="39" t="n"/>
      <c r="T24" s="39" t="n"/>
      <c r="U24" s="40" t="n"/>
      <c r="V24" s="61" t="n"/>
      <c r="W24" s="61" t="n"/>
      <c r="X24" s="102" t="n"/>
      <c r="Y24" s="102" t="n"/>
      <c r="Z24" s="95" t="n"/>
      <c r="AA24" s="102" t="n"/>
      <c r="AB24" s="95" t="n"/>
      <c r="AC24" s="64" t="n"/>
      <c r="AD24" s="64" t="n"/>
      <c r="AE24" s="64" t="n"/>
      <c r="AF24" s="64" t="n"/>
      <c r="AG24" s="64" t="n"/>
      <c r="AH24" s="64" t="n"/>
      <c r="AI24" s="64" t="n"/>
      <c r="AJ24" s="64" t="n"/>
      <c r="AK24" s="64" t="n"/>
      <c r="AL24" s="64" t="n"/>
      <c r="AM24" s="64" t="n"/>
      <c r="AN24" s="64" t="n"/>
      <c r="AO24" s="64" t="n"/>
      <c r="AP24" s="64" t="n"/>
      <c r="AQ24" s="64" t="n"/>
      <c r="AR24" s="64" t="n"/>
      <c r="AS24" s="64" t="n"/>
      <c r="AT24" s="64" t="n"/>
      <c r="AU24" s="64" t="n"/>
      <c r="AV24" s="64" t="n"/>
    </row>
    <row r="25" ht="18" customHeight="1" s="224">
      <c r="B25" s="14" t="inlineStr">
        <is>
          <t>L</t>
        </is>
      </c>
      <c r="C25" s="5" t="inlineStr">
        <is>
          <t>800 Free</t>
        </is>
      </c>
      <c r="D25" s="126" t="n">
        <v>0.008239120370370371</v>
      </c>
      <c r="E25" s="45" t="n">
        <v>46060</v>
      </c>
      <c r="F25" s="211" t="n">
        <v>97</v>
      </c>
      <c r="G25" s="149" t="n">
        <v>0.007638888888888889</v>
      </c>
      <c r="H25" s="23">
        <f>IFERROR(IF(G25-D25&gt;0, TEXT(ABS(G25-D25), "MM:SS.00"), "-" &amp; TEXT(ABS(G25-D25), "MM:SS.00")),"-")</f>
        <v/>
      </c>
      <c r="I25" s="174" t="n">
        <v>0.00784837962962963</v>
      </c>
      <c r="J25" s="177">
        <f>IFERROR(IF(I25-D25&gt;0, TEXT(ABS(I25-D25), "MM:SS.00"), "-" &amp; TEXT(ABS(I25-D25), "MM:SS.00")),"-")</f>
        <v/>
      </c>
      <c r="K25" s="169">
        <f>IF(OR(D8&lt;=G8,D25&lt;=G25),"Q",IF(OR(D8&lt;=I8,D25&lt;=I25),"C",""))</f>
        <v/>
      </c>
      <c r="L25" s="234" t="n">
        <v>10</v>
      </c>
      <c r="M25" s="152" t="n">
        <v>0.006878356481481481</v>
      </c>
      <c r="N25" s="34">
        <f>IFERROR(IF(M25-D25&gt;0, TEXT(ABS(M25-D25), "MM:SS.00"), "-" &amp; TEXT(ABS(M25-D25), "MM:SS.00")),"-")</f>
        <v/>
      </c>
      <c r="O25" s="180" t="n">
        <v>0.007222222222222222</v>
      </c>
      <c r="P25" s="153">
        <f>IFERROR(IF(O25-D25&gt;0, TEXT(ABS(O25-D25), "MM:SS.00"), "-" &amp; TEXT(ABS(O25-D25), "MM:SS.00")),"-")</f>
        <v/>
      </c>
      <c r="Q25" s="169">
        <f>IF(OR(D8&lt;=M8,D25&lt;=M25),"Q",IF(OR(D8&lt;=O8,D25&lt;=O25),"C",""))</f>
        <v/>
      </c>
      <c r="R25" s="230" t="n"/>
      <c r="S25" s="39" t="n"/>
      <c r="T25" s="39" t="n"/>
      <c r="U25" s="40" t="n"/>
      <c r="V25" s="61" t="n"/>
      <c r="W25" s="61" t="n"/>
      <c r="X25" s="102" t="n"/>
      <c r="Y25" s="102" t="n"/>
      <c r="Z25" s="95" t="n"/>
      <c r="AA25" s="102" t="n"/>
      <c r="AB25" s="95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122" t="n"/>
      <c r="AR25" s="64" t="n"/>
      <c r="AS25" s="64" t="n"/>
      <c r="AT25" s="64" t="n"/>
      <c r="AU25" s="64" t="n"/>
      <c r="AV25" s="64" t="n"/>
    </row>
    <row r="26" ht="18" customHeight="1" s="224">
      <c r="B26" s="14" t="inlineStr">
        <is>
          <t>L</t>
        </is>
      </c>
      <c r="C26" s="5" t="inlineStr">
        <is>
          <t>1500 Free</t>
        </is>
      </c>
      <c r="D26" s="126" t="inlineStr">
        <is>
          <t>-</t>
        </is>
      </c>
      <c r="E26" s="45" t="n"/>
      <c r="F26" s="211" t="n">
        <v>97</v>
      </c>
      <c r="G26" s="149" t="n">
        <v>0.01373726851851852</v>
      </c>
      <c r="H26" s="23" t="inlineStr">
        <is>
          <t>-</t>
        </is>
      </c>
      <c r="I26" s="174" t="n">
        <v>0.01382407407407408</v>
      </c>
      <c r="J26" s="177">
        <f>IFERROR(IF(I26-D26&gt;0, TEXT(ABS(I26-D26), "MM:SS.00"), "-" &amp; TEXT(ABS(I26-D26), "MM:SS.00")),"-")</f>
        <v/>
      </c>
      <c r="K26" s="169">
        <f>IF(OR(D9&lt;=G9,D26&lt;=G26),"Q",IF(OR(D9&lt;=I9,D26&lt;=I26),"C",""))</f>
        <v/>
      </c>
      <c r="L26" s="234" t="n">
        <v>10</v>
      </c>
      <c r="M26" s="152" t="n">
        <v>0.01366840277777778</v>
      </c>
      <c r="N26" s="34">
        <f>IFERROR(IF(M26-D26&gt;0, TEXT(ABS(M26-D26), "MM:SS.00"), "-" &amp; TEXT(ABS(M26-D26), "MM:SS.00")),"-")</f>
        <v/>
      </c>
      <c r="O26" s="180" t="n">
        <v>0.01435185185185185</v>
      </c>
      <c r="P26" s="153">
        <f>IFERROR(IF(O26-D26&gt;0, TEXT(ABS(O26-D26), "MM:SS.00"), "-" &amp; TEXT(ABS(O26-D26), "MM:SS.00")),"-")</f>
        <v/>
      </c>
      <c r="Q26" s="169">
        <f>IF(OR(D9&lt;=M9,D26&lt;=M26),"Q",IF(OR(D9&lt;=O9,D26&lt;=O26),"C",""))</f>
        <v/>
      </c>
      <c r="R26" s="230" t="n"/>
      <c r="S26" s="39" t="n"/>
      <c r="T26" s="39" t="n"/>
      <c r="U26" s="40" t="n"/>
      <c r="V26" s="61" t="n"/>
      <c r="W26" s="61" t="n"/>
      <c r="X26" s="102" t="n"/>
      <c r="Y26" s="102" t="n"/>
      <c r="Z26" s="95" t="n"/>
      <c r="AA26" s="102" t="n"/>
      <c r="AB26" s="95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</row>
    <row r="27" ht="18" customHeight="1" s="224">
      <c r="B27" s="14" t="inlineStr">
        <is>
          <t>L</t>
        </is>
      </c>
      <c r="C27" s="5" t="inlineStr">
        <is>
          <t>50 Back</t>
        </is>
      </c>
      <c r="D27" s="126" t="n">
        <v>0.0004355324074074074</v>
      </c>
      <c r="E27" s="45" t="n">
        <v>46060</v>
      </c>
      <c r="F27" s="211" t="n">
        <v>45</v>
      </c>
      <c r="G27" s="149" t="n">
        <v>0.0004157407407407408</v>
      </c>
      <c r="H27" s="23">
        <f>IFERROR(IF(G27-D27&gt;0, TEXT(ABS(G27-D27), "MM:SS.00"), "-" &amp; TEXT(ABS(G27-D27), "MM:SS.00")),"-")</f>
        <v/>
      </c>
      <c r="I27" s="174" t="n">
        <v>0.000447337962962963</v>
      </c>
      <c r="J27" s="177">
        <f>IFERROR(IF(I27-D27&gt;0, TEXT(ABS(I27-D27), "MM:SS.00"), "-" &amp; TEXT(ABS(I27-D27), "MM:SS.00")),"-")</f>
        <v/>
      </c>
      <c r="K27" s="169">
        <f>IF(OR(D10&lt;=G10,D27&lt;=G27),"Q",IF(OR(D10&lt;=I10,D27&lt;=I27),"C",""))</f>
        <v/>
      </c>
      <c r="L27" s="234" t="n">
        <v>5</v>
      </c>
      <c r="M27" s="152" t="n">
        <v>0.0003923611111111111</v>
      </c>
      <c r="N27" s="34">
        <f>IFERROR(IF(M27-D27&gt;0, TEXT(ABS(M27-D27), "MM:SS.00"), "-" &amp; TEXT(ABS(M27-D27), "MM:SS.00")),"-")</f>
        <v/>
      </c>
      <c r="O27" s="180" t="n">
        <v>0.000412037037037037</v>
      </c>
      <c r="P27" s="153">
        <f>IFERROR(IF(O27-D27&gt;0, TEXT(ABS(O27-D27), "MM:SS.00"), "-" &amp; TEXT(ABS(O27-D27), "MM:SS.00")),"-")</f>
        <v/>
      </c>
      <c r="Q27" s="169">
        <f>IF(OR(D10&lt;=M10,D27&lt;=M27),"Q",IF(OR(D10&lt;=O10,D27&lt;=O27),"C",""))</f>
        <v/>
      </c>
      <c r="R27" s="230" t="n">
        <v>5</v>
      </c>
      <c r="S27" s="39" t="n"/>
      <c r="T27" s="39" t="n"/>
      <c r="U27" s="40" t="n"/>
      <c r="V27" s="61" t="n"/>
      <c r="W27" s="61" t="n"/>
      <c r="X27" s="102" t="n"/>
      <c r="Y27" s="102" t="n"/>
      <c r="Z27" s="95" t="n"/>
      <c r="AA27" s="102" t="n"/>
      <c r="AB27" s="95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</row>
    <row r="28" ht="18" customHeight="1" s="224">
      <c r="B28" s="14" t="inlineStr">
        <is>
          <t>L</t>
        </is>
      </c>
      <c r="C28" s="5" t="inlineStr">
        <is>
          <t>100 Back</t>
        </is>
      </c>
      <c r="D28" s="126" t="n">
        <v>0.0009635416666666667</v>
      </c>
      <c r="E28" s="45" t="n">
        <v>46096</v>
      </c>
      <c r="F28" s="211" t="n">
        <v>46</v>
      </c>
      <c r="G28" s="149" t="n">
        <v>0.0008946759259259259</v>
      </c>
      <c r="H28" s="23">
        <f>IFERROR(IF(G28-D28&gt;0, TEXT(ABS(G28-D28), "MM:SS.00"), "-" &amp; TEXT(ABS(G28-D28), "MM:SS.00")),"-")</f>
        <v/>
      </c>
      <c r="I28" s="174" t="n">
        <v>0.0009560185185185185</v>
      </c>
      <c r="J28" s="177">
        <f>IFERROR(IF(I28-D28&gt;0, TEXT(ABS(I28-D28), "MM:SS.00"), "-" &amp; TEXT(ABS(I28-D28), "MM:SS.00")),"-")</f>
        <v/>
      </c>
      <c r="K28" s="169">
        <f>IF(OR(D11&lt;=G11,D28&lt;=G28),"Q",IF(OR(D11&lt;=I11,D28&lt;=I28),"C",""))</f>
        <v/>
      </c>
      <c r="L28" s="234" t="n">
        <v>4</v>
      </c>
      <c r="M28" s="152" t="n">
        <v>0.0008465277777777778</v>
      </c>
      <c r="N28" s="34">
        <f>IFERROR(IF(M28-D28&gt;0, TEXT(ABS(M28-D28), "MM:SS.00"), "-" &amp; TEXT(ABS(M28-D28), "MM:SS.00")),"-")</f>
        <v/>
      </c>
      <c r="O28" s="180" t="n">
        <v>0.0008888888888888888</v>
      </c>
      <c r="P28" s="153">
        <f>IFERROR(IF(O28-D28&gt;0, TEXT(ABS(O28-D28), "MM:SS.00"), "-" &amp; TEXT(ABS(O28-D28), "MM:SS.00")),"-")</f>
        <v/>
      </c>
      <c r="Q28" s="169">
        <f>IF(OR(D11&lt;=M11,D28&lt;=M28),"Q",IF(OR(D11&lt;=O11,D28&lt;=O28),"C",""))</f>
        <v/>
      </c>
      <c r="R28" s="230" t="n">
        <v>6</v>
      </c>
      <c r="S28" s="39" t="n"/>
      <c r="T28" s="39" t="n"/>
      <c r="U28" s="40" t="n"/>
      <c r="V28" s="61" t="n"/>
      <c r="W28" s="61" t="n"/>
      <c r="X28" s="102" t="n"/>
      <c r="Y28" s="102" t="n"/>
      <c r="Z28" s="95" t="n"/>
      <c r="AA28" s="102" t="n"/>
      <c r="AB28" s="95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</row>
    <row r="29" ht="18" customHeight="1" s="224">
      <c r="B29" s="14" t="inlineStr">
        <is>
          <t>L</t>
        </is>
      </c>
      <c r="C29" s="5" t="inlineStr">
        <is>
          <t>200 Back</t>
        </is>
      </c>
      <c r="D29" s="126" t="n">
        <v>0.002053472222222222</v>
      </c>
      <c r="E29" s="45" t="n">
        <v>46068</v>
      </c>
      <c r="F29" s="211" t="n"/>
      <c r="G29" s="149" t="n">
        <v>0.001880787037037037</v>
      </c>
      <c r="H29" s="23">
        <f>IFERROR(IF(G29-D29&gt;0, TEXT(ABS(G29-D29), "MM:SS.00"), "-" &amp; TEXT(ABS(G29-D29), "MM:SS.00")),"-")</f>
        <v/>
      </c>
      <c r="I29" s="174" t="n">
        <v>0.002024305555555556</v>
      </c>
      <c r="J29" s="177">
        <f>IFERROR(IF(I29-D29&gt;0, TEXT(ABS(I29-D29), "MM:SS.00"), "-" &amp; TEXT(ABS(I29-D29), "MM:SS.00")),"-")</f>
        <v/>
      </c>
      <c r="K29" s="169">
        <f>IF(OR(D12&lt;=G12,D29&lt;=G29),"Q",IF(OR(D12&lt;=I12,D29&lt;=I29),"C",""))</f>
        <v/>
      </c>
      <c r="L29" s="234" t="inlineStr">
        <is>
          <t>-</t>
        </is>
      </c>
      <c r="M29" s="152" t="n">
        <v>0.001816550925925926</v>
      </c>
      <c r="N29" s="34">
        <f>IFERROR(IF(M29-D29&gt;0, TEXT(ABS(M29-D29), "MM:SS.00"), "-" &amp; TEXT(ABS(M29-D29), "MM:SS.00")),"-")</f>
        <v/>
      </c>
      <c r="O29" s="180" t="n">
        <v>0.001907407407407408</v>
      </c>
      <c r="P29" s="153">
        <f>IFERROR(IF(O29-D29&gt;0, TEXT(ABS(O29-D29), "MM:SS.00"), "-" &amp; TEXT(ABS(O29-D29), "MM:SS.00")),"-")</f>
        <v/>
      </c>
      <c r="Q29" s="169">
        <f>IF(OR(D12&lt;=M12,D29&lt;=M29),"Q",IF(OR(D12&lt;=O12,D29&lt;=O29),"C",""))</f>
        <v/>
      </c>
      <c r="R29" s="230" t="inlineStr">
        <is>
          <t>-</t>
        </is>
      </c>
      <c r="S29" s="40" t="n"/>
      <c r="T29" s="40" t="n"/>
      <c r="U29" s="40" t="n"/>
      <c r="V29" s="61" t="n"/>
      <c r="W29" s="61" t="n"/>
      <c r="X29" s="102" t="n"/>
      <c r="Y29" s="102" t="n"/>
      <c r="Z29" s="95" t="n"/>
      <c r="AA29" s="102" t="n"/>
      <c r="AB29" s="95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139" t="n"/>
      <c r="AR29" s="64" t="n"/>
      <c r="AS29" s="64" t="n"/>
      <c r="AT29" s="64" t="n"/>
      <c r="AU29" s="64" t="n"/>
      <c r="AV29" s="64" t="n"/>
    </row>
    <row r="30" ht="18" customHeight="1" s="224">
      <c r="B30" s="14" t="inlineStr">
        <is>
          <t>L</t>
        </is>
      </c>
      <c r="C30" s="5" t="inlineStr">
        <is>
          <t>50 Breast</t>
        </is>
      </c>
      <c r="D30" s="126" t="n">
        <v>0.0006391203703703704</v>
      </c>
      <c r="E30" s="45" t="n">
        <v>45452</v>
      </c>
      <c r="F30" s="211" t="inlineStr">
        <is>
          <t>100+</t>
        </is>
      </c>
      <c r="G30" s="149" t="n">
        <v>0.0004689814814814815</v>
      </c>
      <c r="H30" s="23">
        <f>IFERROR(IF(G30-D30&gt;0, TEXT(ABS(G30-D30), "MM:SS.00"), "-" &amp; TEXT(ABS(G30-D30), "MM:SS.00")),"-")</f>
        <v/>
      </c>
      <c r="I30" s="174" t="n">
        <v>0.00050625</v>
      </c>
      <c r="J30" s="177">
        <f>IFERROR(IF(I30-D30&gt;0, TEXT(ABS(I30-D30), "MM:SS.00"), "-" &amp; TEXT(ABS(I30-D30), "MM:SS.00")),"-")</f>
        <v/>
      </c>
      <c r="K30" s="169">
        <f>IF(OR(D13&lt;=G13,D30&lt;=G30),"Q",IF(OR(D13&lt;=I13,D30&lt;=I30),"C",""))</f>
        <v/>
      </c>
      <c r="L30" s="234" t="n">
        <v>15</v>
      </c>
      <c r="M30" s="152" t="n">
        <v>0.0004420138888888889</v>
      </c>
      <c r="N30" s="34">
        <f>IFERROR(IF(M30-D30&gt;0, TEXT(ABS(M30-D30), "MM:SS.00"), "-" &amp; TEXT(ABS(M30-D30), "MM:SS.00")),"-")</f>
        <v/>
      </c>
      <c r="O30" s="180" t="n">
        <v>0.0004641203703703704</v>
      </c>
      <c r="P30" s="153">
        <f>IFERROR(IF(O30-D30&gt;0, TEXT(ABS(O30-D30), "MM:SS.00"), "-" &amp; TEXT(ABS(O30-D30), "MM:SS.00")),"-")</f>
        <v/>
      </c>
      <c r="Q30" s="169">
        <f>IF(OR(D13&lt;=M13,D30&lt;=M30),"Q",IF(OR(D13&lt;=O13,D30&lt;=O30),"C",""))</f>
        <v/>
      </c>
      <c r="R30" s="230" t="n">
        <v>26</v>
      </c>
      <c r="S30" s="40" t="n"/>
      <c r="T30" s="40" t="n"/>
      <c r="U30" s="40" t="n"/>
      <c r="V30" s="61" t="n"/>
      <c r="W30" s="61" t="n"/>
      <c r="X30" s="102" t="n"/>
      <c r="Y30" s="102" t="n"/>
      <c r="Z30" s="95" t="n"/>
      <c r="AA30" s="102" t="n"/>
      <c r="AB30" s="95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136" t="n"/>
      <c r="AR30" s="64" t="n"/>
      <c r="AS30" s="64" t="n"/>
      <c r="AT30" s="64" t="n"/>
      <c r="AU30" s="64" t="n"/>
      <c r="AV30" s="64" t="n"/>
    </row>
    <row r="31" ht="18" customHeight="1" s="224">
      <c r="B31" s="14" t="inlineStr">
        <is>
          <t>L</t>
        </is>
      </c>
      <c r="C31" s="5" t="inlineStr">
        <is>
          <t>100 Breast</t>
        </is>
      </c>
      <c r="D31" s="126" t="inlineStr">
        <is>
          <t>-</t>
        </is>
      </c>
      <c r="E31" s="45" t="n"/>
      <c r="F31" s="211" t="n"/>
      <c r="G31" s="149" t="n">
        <v>0.001042824074074074</v>
      </c>
      <c r="H31" s="23">
        <f>IFERROR(IF(G31-D31&gt;0, TEXT(ABS(G31-D31), "MM:SS.00"), "-" &amp; TEXT(ABS(G31-D31), "MM:SS.00")),"-")</f>
        <v/>
      </c>
      <c r="I31" s="174" t="n">
        <v>0.001112268518518519</v>
      </c>
      <c r="J31" s="177">
        <f>IFERROR(IF(I31-D31&gt;0, TEXT(ABS(I31-D31), "MM:SS.00"), "-" &amp; TEXT(ABS(I31-D31), "MM:SS.00")),"-")</f>
        <v/>
      </c>
      <c r="K31" s="169">
        <f>IF(OR(D14&lt;=G14,D31&lt;=G31),"Q",IF(OR(D14&lt;=I14,D31&lt;=I31),"C",""))</f>
        <v/>
      </c>
      <c r="L31" s="234" t="inlineStr">
        <is>
          <t>-</t>
        </is>
      </c>
      <c r="M31" s="152" t="n">
        <v>0.0009710648148148149</v>
      </c>
      <c r="N31" s="34">
        <f>IFERROR(IF(M31-D31&gt;0, TEXT(ABS(M31-D31), "MM:SS.00"), "-" &amp; TEXT(ABS(M31-D31), "MM:SS.00")),"-")</f>
        <v/>
      </c>
      <c r="O31" s="180" t="n">
        <v>0.001019675925925926</v>
      </c>
      <c r="P31" s="153">
        <f>IFERROR(IF(O31-D31&gt;0, TEXT(ABS(O31-D31), "MM:SS.00"), "-" &amp; TEXT(ABS(O31-D31), "MM:SS.00")),"-")</f>
        <v/>
      </c>
      <c r="Q31" s="169">
        <f>IF(OR(D14&lt;=M14,D31&lt;=M31),"Q",IF(OR(D14&lt;=O14,D31&lt;=O31),"C",""))</f>
        <v/>
      </c>
      <c r="R31" s="230" t="inlineStr">
        <is>
          <t>-</t>
        </is>
      </c>
      <c r="S31" s="39" t="n"/>
      <c r="T31" s="39" t="n"/>
      <c r="U31" s="40" t="n"/>
      <c r="V31" s="61" t="n"/>
      <c r="W31" s="61" t="n"/>
      <c r="X31" s="102" t="n"/>
      <c r="Y31" s="102" t="n"/>
      <c r="Z31" s="95" t="n"/>
      <c r="AA31" s="102" t="n"/>
      <c r="AB31" s="95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136" t="n"/>
      <c r="AR31" s="64" t="n"/>
      <c r="AS31" s="64" t="n"/>
      <c r="AT31" s="64" t="n"/>
      <c r="AU31" s="64" t="n"/>
      <c r="AV31" s="64" t="n"/>
    </row>
    <row r="32" ht="18" customHeight="1" s="224">
      <c r="B32" s="14" t="inlineStr">
        <is>
          <t>L</t>
        </is>
      </c>
      <c r="C32" s="5" t="inlineStr">
        <is>
          <t>200 Breast</t>
        </is>
      </c>
      <c r="D32" s="126" t="inlineStr">
        <is>
          <t>-</t>
        </is>
      </c>
      <c r="E32" s="118" t="n"/>
      <c r="F32" s="211" t="n">
        <v>97</v>
      </c>
      <c r="G32" s="149" t="n">
        <v>0.002240740740740741</v>
      </c>
      <c r="H32" s="23" t="inlineStr">
        <is>
          <t>-</t>
        </is>
      </c>
      <c r="I32" s="174" t="n">
        <v>0.002369212962962963</v>
      </c>
      <c r="J32" s="177">
        <f>IFERROR(IF(I32-D32&gt;0, TEXT(ABS(I32-D32), "MM:SS.00"), "-" &amp; TEXT(ABS(I32-D32), "MM:SS.00")),"-")</f>
        <v/>
      </c>
      <c r="K32" s="169">
        <f>IF(OR(D15&lt;=G15,D32&lt;=G32),"Q",IF(OR(D15&lt;=I15,D32&lt;=I32),"C",""))</f>
        <v/>
      </c>
      <c r="L32" s="234" t="n">
        <v>10</v>
      </c>
      <c r="M32" s="152" t="n">
        <v>0.002066782407407407</v>
      </c>
      <c r="N32" s="34">
        <f>IFERROR(IF(M32-D32&gt;0, TEXT(ABS(M32-D32), "MM:SS.00"), "-" &amp; TEXT(ABS(M32-D32), "MM:SS.00")),"-")</f>
        <v/>
      </c>
      <c r="O32" s="180" t="n">
        <v>0.002170138888888889</v>
      </c>
      <c r="P32" s="153">
        <f>IFERROR(IF(O32-D32&gt;0, TEXT(ABS(O32-D32), "MM:SS.00"), "-" &amp; TEXT(ABS(O32-D32), "MM:SS.00")),"-")</f>
        <v/>
      </c>
      <c r="Q32" s="169">
        <f>IF(OR(D15&lt;=M15,D32&lt;=M32),"Q",IF(OR(D15&lt;=O15,D32&lt;=O32),"C",""))</f>
        <v/>
      </c>
      <c r="R32" s="230" t="n"/>
      <c r="S32" s="39" t="n"/>
      <c r="T32" s="39" t="n"/>
      <c r="U32" s="40" t="n"/>
      <c r="V32" s="61" t="n"/>
      <c r="W32" s="61" t="n"/>
      <c r="X32" s="102" t="n"/>
      <c r="Y32" s="102" t="n"/>
      <c r="Z32" s="95" t="n"/>
      <c r="AA32" s="102" t="n"/>
      <c r="AB32" s="95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</row>
    <row r="33" ht="18" customHeight="1" s="224">
      <c r="B33" s="14" t="inlineStr">
        <is>
          <t>L</t>
        </is>
      </c>
      <c r="C33" s="5" t="inlineStr">
        <is>
          <t>50 Fly</t>
        </is>
      </c>
      <c r="D33" s="126" t="n">
        <v>0.0004146990740740741</v>
      </c>
      <c r="E33" s="118" t="n">
        <v>46061</v>
      </c>
      <c r="F33" s="214" t="n">
        <v>64</v>
      </c>
      <c r="G33" s="149" t="n">
        <v>0.0003822916666666667</v>
      </c>
      <c r="H33" s="23">
        <f>IFERROR(IF(G33-D33&gt;0, TEXT(ABS(G33-D33), "MM:SS.00"), "-" &amp; TEXT(ABS(G33-D33), "MM:SS.00")),"-")</f>
        <v/>
      </c>
      <c r="I33" s="174" t="n">
        <v>0.0004186342592592593</v>
      </c>
      <c r="J33" s="177">
        <f>IFERROR(IF(I33-D33&gt;0, TEXT(ABS(I33-D33), "MM:SS.00"), "-" &amp; TEXT(ABS(I33-D33), "MM:SS.00")),"-")</f>
        <v/>
      </c>
      <c r="K33" s="169">
        <f>IF(OR(D16&lt;=G16,D33&lt;=G33),"Q",IF(OR(D16&lt;=I16,D33&lt;=I33),"C",""))</f>
        <v/>
      </c>
      <c r="L33" s="234" t="n">
        <v>7</v>
      </c>
      <c r="M33" s="152" t="n">
        <v>0.0003747685185185185</v>
      </c>
      <c r="N33" s="34">
        <f>IFERROR(IF(M33-D33&gt;0, TEXT(ABS(M33-D33), "MM:SS.00"), "-" &amp; TEXT(ABS(M33-D33), "MM:SS.00")),"-")</f>
        <v/>
      </c>
      <c r="O33" s="180" t="n">
        <v>0.0003935185185185185</v>
      </c>
      <c r="P33" s="153">
        <f>IFERROR(IF(O33-D33&gt;0, TEXT(ABS(O33-D33), "MM:SS.00"), "-" &amp; TEXT(ABS(O33-D33), "MM:SS.00")),"-")</f>
        <v/>
      </c>
      <c r="Q33" s="169">
        <f>IF(OR(D16&lt;=M16,D33&lt;=M33),"Q",IF(OR(D16&lt;=O16,D33&lt;=O33),"C",""))</f>
        <v/>
      </c>
      <c r="R33" s="230" t="n">
        <v>5</v>
      </c>
      <c r="S33" s="39" t="n"/>
      <c r="T33" s="39" t="n"/>
      <c r="U33" s="40" t="n"/>
      <c r="V33" s="61" t="n"/>
      <c r="W33" s="61" t="n"/>
      <c r="X33" s="102" t="n"/>
      <c r="Y33" s="102" t="n"/>
      <c r="Z33" s="95" t="n"/>
      <c r="AA33" s="102" t="n"/>
      <c r="AB33" s="95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</row>
    <row r="34" ht="18" customHeight="1" s="224">
      <c r="B34" s="14" t="inlineStr">
        <is>
          <t>L</t>
        </is>
      </c>
      <c r="C34" s="5" t="inlineStr">
        <is>
          <t>100 Fly</t>
        </is>
      </c>
      <c r="D34" s="126" t="n">
        <v>0.0009780092592592592</v>
      </c>
      <c r="E34" s="45" t="n">
        <v>46095</v>
      </c>
      <c r="F34" s="211" t="n">
        <v>53</v>
      </c>
      <c r="G34" s="149" t="n">
        <v>0.0008981481481481481</v>
      </c>
      <c r="H34" s="23">
        <f>IFERROR(IF(G34-D34&gt;0, TEXT(ABS(G34-D34), "MM:SS.00"), "-" &amp; TEXT(ABS(G34-D34), "MM:SS.00")),"-")</f>
        <v/>
      </c>
      <c r="I34" s="174" t="n">
        <v>0.001019675925925926</v>
      </c>
      <c r="J34" s="177">
        <f>IFERROR(IF(I34-D34&gt;0, TEXT(ABS(I34-D34), "MM:SS.00"), "-" &amp; TEXT(ABS(I34-D34), "MM:SS.00")),"-")</f>
        <v/>
      </c>
      <c r="K34" s="169">
        <f>IF(OR(D17&lt;=G17,D34&lt;=G34),"Q",IF(OR(D17&lt;=I17,D34&lt;=I34),"C",""))</f>
        <v/>
      </c>
      <c r="L34" s="234" t="n">
        <v>4</v>
      </c>
      <c r="M34" s="152" t="n">
        <v>0.0008377314814814814</v>
      </c>
      <c r="N34" s="34">
        <f>IFERROR(IF(M34-D34&gt;0, TEXT(ABS(M34-D34), "MM:SS.00"), "-" &amp; TEXT(ABS(M34-D34), "MM:SS.00")),"-")</f>
        <v/>
      </c>
      <c r="O34" s="180" t="n">
        <v>0.0008796296296296296</v>
      </c>
      <c r="P34" s="153">
        <f>IFERROR(IF(O34-D34&gt;0, TEXT(ABS(O34-D34), "MM:SS.00"), "-" &amp; TEXT(ABS(O34-D34), "MM:SS.00")),"-")</f>
        <v/>
      </c>
      <c r="Q34" s="169">
        <f>IF(OR(D17&lt;=M17,D34&lt;=M34),"Q",IF(OR(D17&lt;=O17,D34&lt;=O34),"C",""))</f>
        <v/>
      </c>
      <c r="R34" s="230" t="n">
        <v>6</v>
      </c>
      <c r="S34" s="39" t="n"/>
      <c r="T34" s="39" t="n"/>
      <c r="U34" s="40" t="n"/>
      <c r="V34" s="61" t="n"/>
      <c r="W34" s="61" t="n"/>
      <c r="X34" s="102" t="n"/>
      <c r="Y34" s="102" t="n"/>
      <c r="Z34" s="95" t="n"/>
      <c r="AA34" s="102" t="n"/>
      <c r="AB34" s="95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</row>
    <row r="35" ht="18" customHeight="1" s="224">
      <c r="B35" s="14" t="inlineStr">
        <is>
          <t>L</t>
        </is>
      </c>
      <c r="C35" s="5" t="inlineStr">
        <is>
          <t>200 Fly</t>
        </is>
      </c>
      <c r="D35" s="126" t="n">
        <v>0.002275462962962963</v>
      </c>
      <c r="E35" s="45" t="n">
        <v>46102</v>
      </c>
      <c r="F35" s="211" t="n"/>
      <c r="G35" s="149" t="n">
        <v>0.00202662037037037</v>
      </c>
      <c r="H35" s="23" t="n"/>
      <c r="I35" s="174" t="n">
        <v>0.002391203703703704</v>
      </c>
      <c r="J35" s="177">
        <f>IFERROR(IF(I35-D35&gt;0, TEXT(ABS(I35-D35), "MM:SS.00"), "-" &amp; TEXT(ABS(I35-D35), "MM:SS.00")),"-")</f>
        <v/>
      </c>
      <c r="K35" s="169">
        <f>IF(OR(D18&lt;=G18,D35&lt;=G35),"Q",IF(OR(D18&lt;=I18,D35&lt;=I35),"C",""))</f>
        <v/>
      </c>
      <c r="L35" s="234" t="n"/>
      <c r="M35" s="152" t="n">
        <v>0.001917939814814815</v>
      </c>
      <c r="N35" s="34">
        <f>IFERROR(IF(M35-D35&gt;0, TEXT(ABS(M35-D35), "MM:SS.00"), "-" &amp; TEXT(ABS(M35-D35), "MM:SS.00")),"-")</f>
        <v/>
      </c>
      <c r="O35" s="180" t="n">
        <v>0.002013888888888889</v>
      </c>
      <c r="P35" s="153">
        <f>IFERROR(IF(O35-D35&gt;0, TEXT(ABS(O35-D35), "MM:SS.00"), "-" &amp; TEXT(ABS(O35-D35), "MM:SS.00")),"-")</f>
        <v/>
      </c>
      <c r="Q35" s="169">
        <f>IF(OR(D18&lt;=M18,D35&lt;=M35),"Q",IF(OR(D18&lt;=O18,D35&lt;=O35),"C",""))</f>
        <v/>
      </c>
      <c r="R35" s="230" t="n"/>
      <c r="S35" s="39" t="n"/>
      <c r="T35" s="39" t="n"/>
      <c r="U35" s="40" t="n"/>
      <c r="V35" s="61" t="n"/>
      <c r="W35" s="61" t="n"/>
      <c r="X35" s="102" t="n"/>
      <c r="Y35" s="102" t="n"/>
      <c r="Z35" s="95" t="n"/>
      <c r="AA35" s="102" t="n"/>
      <c r="AB35" s="95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</row>
    <row r="36" ht="18" customHeight="1" s="224">
      <c r="B36" s="14" t="inlineStr">
        <is>
          <t>L</t>
        </is>
      </c>
      <c r="C36" s="5" t="inlineStr">
        <is>
          <t>100 IM</t>
        </is>
      </c>
      <c r="D36" s="126" t="inlineStr">
        <is>
          <t>-</t>
        </is>
      </c>
      <c r="E36" s="45" t="n"/>
      <c r="F36" s="211" t="n"/>
      <c r="G36" s="154" t="inlineStr">
        <is>
          <t>-</t>
        </is>
      </c>
      <c r="H36" s="23">
        <f>IFERROR(IF(G36-D36&gt;0, TEXT(ABS(G36-D36), "MM:SS.00"), "-" &amp; TEXT(ABS(G36-D36), "MM:SS.00")),"-")</f>
        <v/>
      </c>
      <c r="I36" s="172" t="n"/>
      <c r="J36" s="177" t="n"/>
      <c r="K36" s="169" t="n"/>
      <c r="L36" s="234" t="inlineStr">
        <is>
          <t>-</t>
        </is>
      </c>
      <c r="M36" s="152" t="inlineStr">
        <is>
          <t>-</t>
        </is>
      </c>
      <c r="N36" s="34">
        <f>IFERROR(IF(K36-D36&gt;0, K36-D36, "-" &amp; TEXT(ABS(K36-D36), "MM:SS.00")), "-")</f>
        <v/>
      </c>
      <c r="O36" s="180" t="inlineStr">
        <is>
          <t>-</t>
        </is>
      </c>
      <c r="P36" s="153">
        <f>IFERROR(IF(N36-D36&gt;0, N36-D36, "-" &amp; TEXT(ABS(N36-D36), "MM:SS.00")), "-")</f>
        <v/>
      </c>
      <c r="Q36" s="169" t="n"/>
      <c r="R36" s="230" t="inlineStr">
        <is>
          <t>-</t>
        </is>
      </c>
      <c r="S36" s="39" t="n"/>
      <c r="T36" s="39" t="n"/>
      <c r="U36" s="40" t="n"/>
      <c r="V36" s="61" t="n"/>
      <c r="W36" s="61" t="n"/>
      <c r="X36" s="102" t="n"/>
      <c r="Y36" s="102" t="n"/>
      <c r="Z36" s="95" t="n"/>
      <c r="AA36" s="102" t="n"/>
      <c r="AB36" s="95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</row>
    <row r="37" ht="18" customHeight="1" s="224" thickBot="1">
      <c r="B37" s="15" t="inlineStr">
        <is>
          <t>L</t>
        </is>
      </c>
      <c r="C37" s="7" t="inlineStr">
        <is>
          <t>200 IM</t>
        </is>
      </c>
      <c r="D37" s="128" t="n">
        <v>0.002169907407407407</v>
      </c>
      <c r="E37" s="47" t="n">
        <v>46095</v>
      </c>
      <c r="F37" s="212" t="n"/>
      <c r="G37" s="159" t="n">
        <v>0.001931712962962963</v>
      </c>
      <c r="H37" s="26">
        <f>IFERROR(IF(G37-D37&gt;0, TEXT(ABS(G37-D37), "MM:SS.00"), "-" &amp; TEXT(ABS(G37-D37), "MM:SS.00")),"-")</f>
        <v/>
      </c>
      <c r="I37" s="175" t="n">
        <v>0.00200462962962963</v>
      </c>
      <c r="J37" s="178">
        <f>IFERROR(IF(I37-D37&gt;0, TEXT(ABS(I37-D37), "MM:SS.00"), "-" &amp; TEXT(ABS(I37-D37), "MM:SS.00")),"-")</f>
        <v/>
      </c>
      <c r="K37" s="171">
        <f>IF(OR(D20&lt;=G20,D37&lt;=G37),"Q",IF(OR(D20&lt;=I20,D37&lt;=I37),"C",""))</f>
        <v/>
      </c>
      <c r="L37" s="236" t="inlineStr">
        <is>
          <t>-</t>
        </is>
      </c>
      <c r="M37" s="160" t="n">
        <v>0.00180775462962963</v>
      </c>
      <c r="N37" s="37">
        <f>IFERROR(IF(M37-D37&gt;0, TEXT(ABS(M37-D37), "MM:SS.00"), "-" &amp; TEXT(ABS(M37-D37), "MM:SS.00")),"-")</f>
        <v/>
      </c>
      <c r="O37" s="182" t="n">
        <v>0.001898148148148148</v>
      </c>
      <c r="P37" s="157">
        <f>IFERROR(IF(O37-D37&gt;0, TEXT(ABS(O37-D37), "MM:SS.00"), "-" &amp; TEXT(ABS(O37-D37), "MM:SS.00")),"-")</f>
        <v/>
      </c>
      <c r="Q37" s="171">
        <f>IF(OR(D20&lt;=M20,D37&lt;=M37),"Q",IF(OR(D20&lt;=O20,D37&lt;=O37),"C",""))</f>
        <v/>
      </c>
      <c r="R37" s="232" t="inlineStr">
        <is>
          <t>-</t>
        </is>
      </c>
      <c r="S37" s="41" t="n"/>
      <c r="T37" s="41" t="n"/>
      <c r="U37" s="88" t="n"/>
      <c r="V37" s="62" t="n"/>
      <c r="W37" s="62" t="n"/>
      <c r="X37" s="105" t="n"/>
      <c r="Y37" s="105" t="n"/>
      <c r="Z37" s="96" t="n"/>
      <c r="AA37" s="105" t="n"/>
      <c r="AB37" s="96" t="n"/>
      <c r="AC37" s="65" t="n"/>
      <c r="AD37" s="65" t="n"/>
      <c r="AE37" s="65" t="n"/>
      <c r="AF37" s="65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37" t="n"/>
      <c r="AQ37" s="140" t="n"/>
      <c r="AR37" s="112" t="n"/>
      <c r="AS37" s="112" t="n"/>
      <c r="AT37" s="112" t="n"/>
      <c r="AU37" s="112" t="n"/>
      <c r="AV37" s="112" t="n"/>
    </row>
    <row r="38" ht="15" customHeight="1" s="224">
      <c r="L38" s="2" t="n"/>
      <c r="M38" s="2" t="n"/>
      <c r="O38" s="2" t="n"/>
      <c r="P38" s="2" t="n"/>
      <c r="Q38" s="2" t="n"/>
      <c r="R38" s="2" t="n"/>
    </row>
    <row r="39" ht="15" customHeight="1" s="224">
      <c r="L39" s="2" t="n"/>
      <c r="M39" s="2" t="n"/>
      <c r="O39" s="2" t="n"/>
      <c r="P39" s="2" t="n"/>
      <c r="Q39" s="2" t="n"/>
      <c r="R39" s="2" t="n"/>
    </row>
    <row r="40" ht="15" customHeight="1" s="224"/>
    <row r="41" ht="15" customHeight="1" s="224"/>
    <row r="42" ht="15" customHeight="1" s="224"/>
    <row r="43" ht="15" customHeight="1" s="224"/>
    <row r="44" ht="15" customHeight="1" s="224">
      <c r="F44" s="187" t="n"/>
      <c r="G44" s="188" t="n"/>
      <c r="L44" s="188" t="n"/>
    </row>
    <row r="45" ht="15" customHeight="1" s="224">
      <c r="F45" s="187" t="n"/>
    </row>
  </sheetData>
  <mergeCells count="3">
    <mergeCell ref="D2:F2"/>
    <mergeCell ref="M2:R2"/>
    <mergeCell ref="G2:L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2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T5" sqref="T5"/>
    </sheetView>
  </sheetViews>
  <sheetFormatPr baseColWidth="10" defaultColWidth="8.83203125" defaultRowHeight="16"/>
  <cols>
    <col width="12" customWidth="1" style="224" min="1" max="1"/>
    <col width="8" customWidth="1" style="224" min="2" max="57"/>
  </cols>
  <sheetData>
    <row r="1">
      <c r="A1" s="223" t="inlineStr">
        <is>
          <t>Middlesex County Championships 2026 — Qualifying Times</t>
        </is>
      </c>
    </row>
    <row r="2" ht="18" customHeight="1" s="224">
      <c r="A2" s="141" t="inlineStr">
        <is>
          <t>Event</t>
        </is>
      </c>
      <c r="B2" s="225" t="inlineStr">
        <is>
          <t>Girls — Long Course</t>
        </is>
      </c>
      <c r="C2" s="226" t="n"/>
      <c r="D2" s="226" t="n"/>
      <c r="E2" s="226" t="n"/>
      <c r="F2" s="226" t="n"/>
      <c r="G2" s="226" t="n"/>
      <c r="H2" s="226" t="n"/>
      <c r="I2" s="226" t="n"/>
      <c r="J2" s="226" t="n"/>
      <c r="K2" s="226" t="n"/>
      <c r="L2" s="226" t="n"/>
      <c r="M2" s="226" t="n"/>
      <c r="N2" s="226" t="n"/>
      <c r="O2" s="221" t="n"/>
      <c r="P2" s="225" t="inlineStr">
        <is>
          <t>Girls — Short Course</t>
        </is>
      </c>
      <c r="Q2" s="226" t="n"/>
      <c r="R2" s="226" t="n"/>
      <c r="S2" s="226" t="n"/>
      <c r="T2" s="226" t="n"/>
      <c r="U2" s="226" t="n"/>
      <c r="V2" s="226" t="n"/>
      <c r="W2" s="226" t="n"/>
      <c r="X2" s="226" t="n"/>
      <c r="Y2" s="226" t="n"/>
      <c r="Z2" s="226" t="n"/>
      <c r="AA2" s="226" t="n"/>
      <c r="AB2" s="226" t="n"/>
      <c r="AC2" s="221" t="n"/>
      <c r="AD2" s="227" t="inlineStr">
        <is>
          <t>Boys — Long Course</t>
        </is>
      </c>
      <c r="AE2" s="226" t="n"/>
      <c r="AF2" s="226" t="n"/>
      <c r="AG2" s="226" t="n"/>
      <c r="AH2" s="226" t="n"/>
      <c r="AI2" s="226" t="n"/>
      <c r="AJ2" s="226" t="n"/>
      <c r="AK2" s="226" t="n"/>
      <c r="AL2" s="226" t="n"/>
      <c r="AM2" s="226" t="n"/>
      <c r="AN2" s="226" t="n"/>
      <c r="AO2" s="226" t="n"/>
      <c r="AP2" s="226" t="n"/>
      <c r="AQ2" s="221" t="n"/>
      <c r="AR2" s="227" t="inlineStr">
        <is>
          <t>Boys — Short Course</t>
        </is>
      </c>
      <c r="AS2" s="226" t="n"/>
      <c r="AT2" s="226" t="n"/>
      <c r="AU2" s="226" t="n"/>
      <c r="AV2" s="226" t="n"/>
      <c r="AW2" s="226" t="n"/>
      <c r="AX2" s="226" t="n"/>
      <c r="AY2" s="226" t="n"/>
      <c r="AZ2" s="226" t="n"/>
      <c r="BA2" s="226" t="n"/>
      <c r="BB2" s="226" t="n"/>
      <c r="BC2" s="226" t="n"/>
      <c r="BD2" s="226" t="n"/>
      <c r="BE2" s="221" t="n"/>
    </row>
    <row r="3" ht="18" customHeight="1" s="224">
      <c r="A3" s="141" t="n"/>
      <c r="B3" s="222" t="inlineStr">
        <is>
          <t>10+11</t>
        </is>
      </c>
      <c r="C3" s="221" t="n"/>
      <c r="D3" s="222" t="inlineStr">
        <is>
          <t>12</t>
        </is>
      </c>
      <c r="E3" s="221" t="n"/>
      <c r="F3" s="222" t="inlineStr">
        <is>
          <t>13</t>
        </is>
      </c>
      <c r="G3" s="221" t="n"/>
      <c r="H3" s="222" t="inlineStr">
        <is>
          <t>14</t>
        </is>
      </c>
      <c r="I3" s="221" t="n"/>
      <c r="J3" s="222" t="inlineStr">
        <is>
          <t>15</t>
        </is>
      </c>
      <c r="K3" s="221" t="n"/>
      <c r="L3" s="222" t="inlineStr">
        <is>
          <t>16</t>
        </is>
      </c>
      <c r="M3" s="221" t="n"/>
      <c r="N3" s="222" t="inlineStr">
        <is>
          <t>17+</t>
        </is>
      </c>
      <c r="O3" s="221" t="n"/>
      <c r="P3" s="222" t="inlineStr">
        <is>
          <t>10+11</t>
        </is>
      </c>
      <c r="Q3" s="221" t="n"/>
      <c r="R3" s="222" t="inlineStr">
        <is>
          <t>12</t>
        </is>
      </c>
      <c r="S3" s="221" t="n"/>
      <c r="T3" s="222" t="inlineStr">
        <is>
          <t>13</t>
        </is>
      </c>
      <c r="U3" s="221" t="n"/>
      <c r="V3" s="222" t="inlineStr">
        <is>
          <t>14</t>
        </is>
      </c>
      <c r="W3" s="221" t="n"/>
      <c r="X3" s="222" t="inlineStr">
        <is>
          <t>15</t>
        </is>
      </c>
      <c r="Y3" s="221" t="n"/>
      <c r="Z3" s="222" t="inlineStr">
        <is>
          <t>16</t>
        </is>
      </c>
      <c r="AA3" s="221" t="n"/>
      <c r="AB3" s="222" t="inlineStr">
        <is>
          <t>17+</t>
        </is>
      </c>
      <c r="AC3" s="221" t="n"/>
      <c r="AD3" s="220" t="inlineStr">
        <is>
          <t>10+11</t>
        </is>
      </c>
      <c r="AE3" s="221" t="n"/>
      <c r="AF3" s="220" t="inlineStr">
        <is>
          <t>12</t>
        </is>
      </c>
      <c r="AG3" s="221" t="n"/>
      <c r="AH3" s="220" t="inlineStr">
        <is>
          <t>13</t>
        </is>
      </c>
      <c r="AI3" s="221" t="n"/>
      <c r="AJ3" s="220" t="inlineStr">
        <is>
          <t>14</t>
        </is>
      </c>
      <c r="AK3" s="221" t="n"/>
      <c r="AL3" s="220" t="inlineStr">
        <is>
          <t>15</t>
        </is>
      </c>
      <c r="AM3" s="221" t="n"/>
      <c r="AN3" s="220" t="inlineStr">
        <is>
          <t>16</t>
        </is>
      </c>
      <c r="AO3" s="221" t="n"/>
      <c r="AP3" s="220" t="inlineStr">
        <is>
          <t>17+</t>
        </is>
      </c>
      <c r="AQ3" s="221" t="n"/>
      <c r="AR3" s="220" t="inlineStr">
        <is>
          <t>10+11</t>
        </is>
      </c>
      <c r="AS3" s="221" t="n"/>
      <c r="AT3" s="220" t="inlineStr">
        <is>
          <t>12</t>
        </is>
      </c>
      <c r="AU3" s="221" t="n"/>
      <c r="AV3" s="220" t="inlineStr">
        <is>
          <t>13</t>
        </is>
      </c>
      <c r="AW3" s="221" t="n"/>
      <c r="AX3" s="220" t="inlineStr">
        <is>
          <t>14</t>
        </is>
      </c>
      <c r="AY3" s="221" t="n"/>
      <c r="AZ3" s="220" t="inlineStr">
        <is>
          <t>15</t>
        </is>
      </c>
      <c r="BA3" s="221" t="n"/>
      <c r="BB3" s="220" t="inlineStr">
        <is>
          <t>16</t>
        </is>
      </c>
      <c r="BC3" s="221" t="n"/>
      <c r="BD3" s="220" t="inlineStr">
        <is>
          <t>17+</t>
        </is>
      </c>
      <c r="BE3" s="221" t="n"/>
    </row>
    <row r="4" ht="18" customHeight="1" s="224">
      <c r="A4" s="141" t="n"/>
      <c r="B4" s="161" t="inlineStr">
        <is>
          <t>QT</t>
        </is>
      </c>
      <c r="C4" s="162" t="inlineStr">
        <is>
          <t>Con</t>
        </is>
      </c>
      <c r="D4" s="161" t="inlineStr">
        <is>
          <t>QT</t>
        </is>
      </c>
      <c r="E4" s="162" t="inlineStr">
        <is>
          <t>Con</t>
        </is>
      </c>
      <c r="F4" s="161" t="inlineStr">
        <is>
          <t>QT</t>
        </is>
      </c>
      <c r="G4" s="162" t="inlineStr">
        <is>
          <t>Con</t>
        </is>
      </c>
      <c r="H4" s="161" t="inlineStr">
        <is>
          <t>QT</t>
        </is>
      </c>
      <c r="I4" s="162" t="inlineStr">
        <is>
          <t>Con</t>
        </is>
      </c>
      <c r="J4" s="161" t="inlineStr">
        <is>
          <t>QT</t>
        </is>
      </c>
      <c r="K4" s="162" t="inlineStr">
        <is>
          <t>Con</t>
        </is>
      </c>
      <c r="L4" s="161" t="inlineStr">
        <is>
          <t>QT</t>
        </is>
      </c>
      <c r="M4" s="162" t="inlineStr">
        <is>
          <t>Con</t>
        </is>
      </c>
      <c r="N4" s="161" t="inlineStr">
        <is>
          <t>QT</t>
        </is>
      </c>
      <c r="O4" s="162" t="inlineStr">
        <is>
          <t>Con</t>
        </is>
      </c>
      <c r="P4" s="161" t="inlineStr">
        <is>
          <t>QT</t>
        </is>
      </c>
      <c r="Q4" s="162" t="inlineStr">
        <is>
          <t>Con</t>
        </is>
      </c>
      <c r="R4" s="161" t="inlineStr">
        <is>
          <t>QT</t>
        </is>
      </c>
      <c r="S4" s="162" t="inlineStr">
        <is>
          <t>Con</t>
        </is>
      </c>
      <c r="T4" s="161" t="inlineStr">
        <is>
          <t>QT</t>
        </is>
      </c>
      <c r="U4" s="162" t="inlineStr">
        <is>
          <t>Con</t>
        </is>
      </c>
      <c r="V4" s="161" t="inlineStr">
        <is>
          <t>QT</t>
        </is>
      </c>
      <c r="W4" s="162" t="inlineStr">
        <is>
          <t>Con</t>
        </is>
      </c>
      <c r="X4" s="161" t="inlineStr">
        <is>
          <t>QT</t>
        </is>
      </c>
      <c r="Y4" s="162" t="inlineStr">
        <is>
          <t>Con</t>
        </is>
      </c>
      <c r="Z4" s="161" t="inlineStr">
        <is>
          <t>QT</t>
        </is>
      </c>
      <c r="AA4" s="162" t="inlineStr">
        <is>
          <t>Con</t>
        </is>
      </c>
      <c r="AB4" s="161" t="inlineStr">
        <is>
          <t>QT</t>
        </is>
      </c>
      <c r="AC4" s="162" t="inlineStr">
        <is>
          <t>Con</t>
        </is>
      </c>
      <c r="AD4" s="161" t="inlineStr">
        <is>
          <t>QT</t>
        </is>
      </c>
      <c r="AE4" s="162" t="inlineStr">
        <is>
          <t>Con</t>
        </is>
      </c>
      <c r="AF4" s="161" t="inlineStr">
        <is>
          <t>QT</t>
        </is>
      </c>
      <c r="AG4" s="162" t="inlineStr">
        <is>
          <t>Con</t>
        </is>
      </c>
      <c r="AH4" s="161" t="inlineStr">
        <is>
          <t>QT</t>
        </is>
      </c>
      <c r="AI4" s="162" t="inlineStr">
        <is>
          <t>Con</t>
        </is>
      </c>
      <c r="AJ4" s="161" t="inlineStr">
        <is>
          <t>QT</t>
        </is>
      </c>
      <c r="AK4" s="162" t="inlineStr">
        <is>
          <t>Con</t>
        </is>
      </c>
      <c r="AL4" s="161" t="inlineStr">
        <is>
          <t>QT</t>
        </is>
      </c>
      <c r="AM4" s="162" t="inlineStr">
        <is>
          <t>Con</t>
        </is>
      </c>
      <c r="AN4" s="161" t="inlineStr">
        <is>
          <t>QT</t>
        </is>
      </c>
      <c r="AO4" s="162" t="inlineStr">
        <is>
          <t>Con</t>
        </is>
      </c>
      <c r="AP4" s="161" t="inlineStr">
        <is>
          <t>QT</t>
        </is>
      </c>
      <c r="AQ4" s="162" t="inlineStr">
        <is>
          <t>Con</t>
        </is>
      </c>
      <c r="AR4" s="161" t="inlineStr">
        <is>
          <t>QT</t>
        </is>
      </c>
      <c r="AS4" s="162" t="inlineStr">
        <is>
          <t>Con</t>
        </is>
      </c>
      <c r="AT4" s="161" t="inlineStr">
        <is>
          <t>QT</t>
        </is>
      </c>
      <c r="AU4" s="162" t="inlineStr">
        <is>
          <t>Con</t>
        </is>
      </c>
      <c r="AV4" s="161" t="inlineStr">
        <is>
          <t>QT</t>
        </is>
      </c>
      <c r="AW4" s="162" t="inlineStr">
        <is>
          <t>Con</t>
        </is>
      </c>
      <c r="AX4" s="161" t="inlineStr">
        <is>
          <t>QT</t>
        </is>
      </c>
      <c r="AY4" s="162" t="inlineStr">
        <is>
          <t>Con</t>
        </is>
      </c>
      <c r="AZ4" s="161" t="inlineStr">
        <is>
          <t>QT</t>
        </is>
      </c>
      <c r="BA4" s="162" t="inlineStr">
        <is>
          <t>Con</t>
        </is>
      </c>
      <c r="BB4" s="161" t="inlineStr">
        <is>
          <t>QT</t>
        </is>
      </c>
      <c r="BC4" s="162" t="inlineStr">
        <is>
          <t>Con</t>
        </is>
      </c>
      <c r="BD4" s="161" t="inlineStr">
        <is>
          <t>QT</t>
        </is>
      </c>
      <c r="BE4" s="162" t="inlineStr">
        <is>
          <t>Con</t>
        </is>
      </c>
    </row>
    <row r="5">
      <c r="A5" s="163" t="inlineStr">
        <is>
          <t>50 Free</t>
        </is>
      </c>
      <c r="B5" s="164" t="n">
        <v>0.0004225694444444444</v>
      </c>
      <c r="C5" s="165" t="n">
        <v>0.0004615740740740741</v>
      </c>
      <c r="D5" s="164" t="n">
        <v>0.0003809027777777777</v>
      </c>
      <c r="E5" s="165" t="n">
        <v>0.0004032407407407408</v>
      </c>
      <c r="F5" s="164" t="n">
        <v>0.0003561342592592593</v>
      </c>
      <c r="G5" s="165" t="n">
        <v>0.0003774305555555555</v>
      </c>
      <c r="H5" s="164" t="n">
        <v>0.0003403935185185185</v>
      </c>
      <c r="I5" s="165" t="n">
        <v>0.0003657407407407408</v>
      </c>
      <c r="J5" s="164" t="n">
        <v>0.0003353009259259259</v>
      </c>
      <c r="K5" s="165" t="n">
        <v>0.0003537037037037037</v>
      </c>
      <c r="L5" s="164" t="n">
        <v>0.0003270833333333334</v>
      </c>
      <c r="M5" s="165" t="n">
        <v>0.0003523148148148149</v>
      </c>
      <c r="N5" s="164" t="n">
        <v>0.0003255787037037037</v>
      </c>
      <c r="O5" s="165" t="n">
        <v>0.0003371527777777777</v>
      </c>
      <c r="P5" s="164" t="n">
        <v>0.0004155092592592592</v>
      </c>
      <c r="Q5" s="165" t="n">
        <v>0.0004615740740740741</v>
      </c>
      <c r="R5" s="164" t="n">
        <v>0.0003738425925925926</v>
      </c>
      <c r="S5" s="165" t="n">
        <v>0.0003958333333333334</v>
      </c>
      <c r="T5" s="164" t="n">
        <v>0.0003483796296296296</v>
      </c>
      <c r="U5" s="165" t="n">
        <v>0.0003703703703703704</v>
      </c>
      <c r="V5" s="164" t="n">
        <v>0.0003321759259259259</v>
      </c>
      <c r="W5" s="165" t="n">
        <v>0.0003657407407407408</v>
      </c>
      <c r="X5" s="164" t="n">
        <v>0.0003263888888888889</v>
      </c>
      <c r="Y5" s="165" t="n">
        <v>0.0003537037037037037</v>
      </c>
      <c r="Z5" s="164" t="n">
        <v>0.0003182870370370371</v>
      </c>
      <c r="AA5" s="165" t="n">
        <v>0.00034375</v>
      </c>
      <c r="AB5" s="164" t="n">
        <v>0.0003171296296296296</v>
      </c>
      <c r="AC5" s="165" t="n">
        <v>0.0003287037037037037</v>
      </c>
      <c r="AD5" s="164" t="n">
        <v>0.0004173611111111111</v>
      </c>
      <c r="AE5" s="165" t="n">
        <v>0.0004788194444444444</v>
      </c>
      <c r="AF5" s="164" t="n">
        <v>0.0003790509259259259</v>
      </c>
      <c r="AG5" s="165" t="n">
        <v>0.0004103009259259259</v>
      </c>
      <c r="AH5" s="164" t="n">
        <v>0.0003579861111111111</v>
      </c>
      <c r="AI5" s="165" t="n">
        <v>0.0003819444444444445</v>
      </c>
      <c r="AJ5" s="164" t="n">
        <v>0.0003420138888888889</v>
      </c>
      <c r="AK5" s="165" t="n">
        <v>0.0003628472222222222</v>
      </c>
      <c r="AL5" s="164" t="n">
        <v>0.0003203703703703704</v>
      </c>
      <c r="AM5" s="165" t="n">
        <v>0.0003435185185185185</v>
      </c>
      <c r="AN5" s="164" t="n">
        <v>0.0003052083333333333</v>
      </c>
      <c r="AO5" s="165" t="n">
        <v>0.0003222222222222222</v>
      </c>
      <c r="AP5" s="164" t="n">
        <v>0.0002894675925925926</v>
      </c>
      <c r="AQ5" s="165" t="n">
        <v>0.0003034722222222222</v>
      </c>
      <c r="AR5" s="164" t="n">
        <v>0.0004108796296296296</v>
      </c>
      <c r="AS5" s="165" t="n">
        <v>0.0004733796296296296</v>
      </c>
      <c r="AT5" s="164" t="n">
        <v>0.0003715277777777778</v>
      </c>
      <c r="AU5" s="165" t="n">
        <v>0.0004039351851851852</v>
      </c>
      <c r="AV5" s="164" t="n">
        <v>0.000349537037037037</v>
      </c>
      <c r="AW5" s="165" t="n">
        <v>0.000375</v>
      </c>
      <c r="AX5" s="164" t="n">
        <v>0.0003333333333333333</v>
      </c>
      <c r="AY5" s="165" t="n">
        <v>0.0003553240740740741</v>
      </c>
      <c r="AZ5" s="164" t="n">
        <v>0.0003113425925925926</v>
      </c>
      <c r="BA5" s="165" t="n">
        <v>0.0003356481481481481</v>
      </c>
      <c r="BB5" s="164" t="n">
        <v>0.0002962962962962963</v>
      </c>
      <c r="BC5" s="165" t="n">
        <v>0.0003136574074074074</v>
      </c>
      <c r="BD5" s="164" t="n">
        <v>0.0002800925925925926</v>
      </c>
      <c r="BE5" s="165" t="n">
        <v>0.0002939814814814815</v>
      </c>
    </row>
    <row r="6">
      <c r="A6" s="163" t="inlineStr">
        <is>
          <t>100 Free</t>
        </is>
      </c>
      <c r="B6" s="164" t="n">
        <v>0.0009444444444444444</v>
      </c>
      <c r="C6" s="165" t="n">
        <v>0.001108796296296296</v>
      </c>
      <c r="D6" s="164" t="n">
        <v>0.0008460648148148148</v>
      </c>
      <c r="E6" s="165" t="n">
        <v>0.0009155092592592591</v>
      </c>
      <c r="F6" s="164" t="n">
        <v>0.0007916666666666668</v>
      </c>
      <c r="G6" s="165" t="n">
        <v>0.0008310185185185185</v>
      </c>
      <c r="H6" s="164" t="n">
        <v>0.0007418981481481481</v>
      </c>
      <c r="I6" s="165" t="n">
        <v>0.0007905092592592592</v>
      </c>
      <c r="J6" s="164" t="n">
        <v>0.0007210648148148148</v>
      </c>
      <c r="K6" s="165" t="n">
        <v>0.0007754629629629629</v>
      </c>
      <c r="L6" s="164" t="n">
        <v>0.0007199074074074074</v>
      </c>
      <c r="M6" s="165" t="n">
        <v>0.0007685185185185185</v>
      </c>
      <c r="N6" s="164" t="n">
        <v>0.0006990740740740741</v>
      </c>
      <c r="O6" s="165" t="n">
        <v>0.0007245370370370371</v>
      </c>
      <c r="P6" s="164" t="n">
        <v>0.0009328703703703703</v>
      </c>
      <c r="Q6" s="165" t="n">
        <v>0.00109837962962963</v>
      </c>
      <c r="R6" s="164" t="n">
        <v>0.000832175925925926</v>
      </c>
      <c r="S6" s="165" t="n">
        <v>0.0009027777777777777</v>
      </c>
      <c r="T6" s="164" t="n">
        <v>0.0007777777777777778</v>
      </c>
      <c r="U6" s="165" t="n">
        <v>0.0008171296296296296</v>
      </c>
      <c r="V6" s="164" t="n">
        <v>0.0007268518518518518</v>
      </c>
      <c r="W6" s="165" t="n">
        <v>0.0007766203703703703</v>
      </c>
      <c r="X6" s="164" t="n">
        <v>0.0007048611111111111</v>
      </c>
      <c r="Y6" s="165" t="n">
        <v>0.0007604166666666667</v>
      </c>
      <c r="Z6" s="164" t="n">
        <v>0.0007037037037037037</v>
      </c>
      <c r="AA6" s="165" t="n">
        <v>0.0007534722222222221</v>
      </c>
      <c r="AB6" s="164" t="n">
        <v>0.0006828703703703704</v>
      </c>
      <c r="AC6" s="165" t="n">
        <v>0.0007094907407407407</v>
      </c>
      <c r="AD6" s="164" t="n">
        <v>0.0009548611111111111</v>
      </c>
      <c r="AE6" s="165" t="n">
        <v>0.001133101851851852</v>
      </c>
      <c r="AF6" s="164" t="n">
        <v>0.0008356481481481482</v>
      </c>
      <c r="AG6" s="165" t="n">
        <v>0.0009108796296296296</v>
      </c>
      <c r="AH6" s="164" t="n">
        <v>0.0007858796296296296</v>
      </c>
      <c r="AI6" s="165" t="n">
        <v>0.0008472222222222223</v>
      </c>
      <c r="AJ6" s="164" t="n">
        <v>0.0007361111111111111</v>
      </c>
      <c r="AK6" s="165" t="n">
        <v>0.000800925925925926</v>
      </c>
      <c r="AL6" s="164" t="n">
        <v>0.0007037037037037037</v>
      </c>
      <c r="AM6" s="165" t="n">
        <v>0.0007523148148148148</v>
      </c>
      <c r="AN6" s="164" t="n">
        <v>0.0006679398148148148</v>
      </c>
      <c r="AO6" s="165" t="n">
        <v>0.0006979166666666667</v>
      </c>
      <c r="AP6" s="164" t="n">
        <v>0.00063125</v>
      </c>
      <c r="AQ6" s="165" t="n">
        <v>0.0006744212962962963</v>
      </c>
      <c r="AR6" s="164" t="n">
        <v>0.0009432870370370371</v>
      </c>
      <c r="AS6" s="165" t="n">
        <v>0.001122685185185185</v>
      </c>
      <c r="AT6" s="164" t="n">
        <v>0.0008217592592592593</v>
      </c>
      <c r="AU6" s="165" t="n">
        <v>0.0008981481481481481</v>
      </c>
      <c r="AV6" s="164" t="n">
        <v>0.0007719907407407407</v>
      </c>
      <c r="AW6" s="165" t="n">
        <v>0.0008333333333333334</v>
      </c>
      <c r="AX6" s="164" t="n">
        <v>0.0007210648148148148</v>
      </c>
      <c r="AY6" s="165" t="n">
        <v>0.000787037037037037</v>
      </c>
      <c r="AZ6" s="164" t="n">
        <v>0.0006875</v>
      </c>
      <c r="BA6" s="165" t="n">
        <v>0.0007372685185185185</v>
      </c>
      <c r="BB6" s="164" t="n">
        <v>0.000650462962962963</v>
      </c>
      <c r="BC6" s="165" t="n">
        <v>0.000681712962962963</v>
      </c>
      <c r="BD6" s="164" t="n">
        <v>0.0006134259259259259</v>
      </c>
      <c r="BE6" s="165" t="n">
        <v>0.0006701388888888888</v>
      </c>
    </row>
    <row r="7">
      <c r="A7" s="163" t="inlineStr">
        <is>
          <t>200 Free</t>
        </is>
      </c>
      <c r="B7" s="164" t="n">
        <v>0.002101851851851852</v>
      </c>
      <c r="C7" s="165" t="n">
        <v>0.002533564814814815</v>
      </c>
      <c r="D7" s="164" t="n">
        <v>0.001855324074074074</v>
      </c>
      <c r="E7" s="165" t="n">
        <v>0.001997685185185185</v>
      </c>
      <c r="F7" s="164" t="n">
        <v>0.001678240740740741</v>
      </c>
      <c r="G7" s="165" t="n">
        <v>0.001805555555555555</v>
      </c>
      <c r="H7" s="164" t="n">
        <v>0.001589120370370371</v>
      </c>
      <c r="I7" s="165" t="n">
        <v>0.001709490740740741</v>
      </c>
      <c r="J7" s="164" t="n">
        <v>0.001564814814814815</v>
      </c>
      <c r="K7" s="165" t="n">
        <v>0.001668981481481481</v>
      </c>
      <c r="L7" s="164" t="n">
        <v>0.0015625</v>
      </c>
      <c r="M7" s="165" t="n">
        <v>0.001666666666666667</v>
      </c>
      <c r="N7" s="164" t="n">
        <v>0.001489583333333333</v>
      </c>
      <c r="O7" s="165" t="n">
        <v>0.001568287037037037</v>
      </c>
      <c r="P7" s="164" t="n">
        <v>0.002079861111111111</v>
      </c>
      <c r="Q7" s="165" t="n">
        <v>0.002515046296296296</v>
      </c>
      <c r="R7" s="164" t="n">
        <v>0.001829861111111111</v>
      </c>
      <c r="S7" s="165" t="n">
        <v>0.001974537037037037</v>
      </c>
      <c r="T7" s="164" t="n">
        <v>0.001650462962962963</v>
      </c>
      <c r="U7" s="165" t="n">
        <v>0.001780092592592593</v>
      </c>
      <c r="V7" s="164" t="n">
        <v>0.001559027777777778</v>
      </c>
      <c r="W7" s="165" t="n">
        <v>0.001681712962962963</v>
      </c>
      <c r="X7" s="164" t="n">
        <v>0.001534722222222222</v>
      </c>
      <c r="Y7" s="165" t="n">
        <v>0.001641203703703704</v>
      </c>
      <c r="Z7" s="164" t="n">
        <v>0.001532407407407407</v>
      </c>
      <c r="AA7" s="165" t="n">
        <v>0.001638888888888889</v>
      </c>
      <c r="AB7" s="164" t="n">
        <v>0.001458333333333333</v>
      </c>
      <c r="AC7" s="165" t="n">
        <v>0.001538194444444444</v>
      </c>
      <c r="AD7" s="164" t="n">
        <v>0.00208449074074074</v>
      </c>
      <c r="AE7" s="165" t="n">
        <v>0.002863425925925926</v>
      </c>
      <c r="AF7" s="164" t="n">
        <v>0.001857638888888889</v>
      </c>
      <c r="AG7" s="165" t="n">
        <v>0.001994212962962963</v>
      </c>
      <c r="AH7" s="164" t="n">
        <v>0.001738425925925926</v>
      </c>
      <c r="AI7" s="165" t="n">
        <v>0.001826388888888889</v>
      </c>
      <c r="AJ7" s="164" t="n">
        <v>0.001592592592592592</v>
      </c>
      <c r="AK7" s="165" t="n">
        <v>0.001737268518518518</v>
      </c>
      <c r="AL7" s="164" t="n">
        <v>0.001563657407407407</v>
      </c>
      <c r="AM7" s="165" t="n">
        <v>0.001645833333333333</v>
      </c>
      <c r="AN7" s="164" t="n">
        <v>0.001435185185185185</v>
      </c>
      <c r="AO7" s="165" t="n">
        <v>0.001548611111111111</v>
      </c>
      <c r="AP7" s="164" t="n">
        <v>0.001417824074074074</v>
      </c>
      <c r="AQ7" s="165" t="n">
        <v>0.00152662037037037</v>
      </c>
      <c r="AR7" s="164" t="n">
        <v>0.0020625</v>
      </c>
      <c r="AS7" s="165" t="n">
        <v>0.002847222222222222</v>
      </c>
      <c r="AT7" s="164" t="n">
        <v>0.001832175925925926</v>
      </c>
      <c r="AU7" s="165" t="n">
        <v>0.001971064814814815</v>
      </c>
      <c r="AV7" s="164" t="n">
        <v>0.001711805555555556</v>
      </c>
      <c r="AW7" s="165" t="n">
        <v>0.001800925925925926</v>
      </c>
      <c r="AX7" s="164" t="n">
        <v>0.001563657407407407</v>
      </c>
      <c r="AY7" s="165" t="n">
        <v>0.001710648148148148</v>
      </c>
      <c r="AZ7" s="164" t="n">
        <v>0.001533564814814815</v>
      </c>
      <c r="BA7" s="165" t="n">
        <v>0.001616898148148148</v>
      </c>
      <c r="BB7" s="164" t="n">
        <v>0.001402777777777778</v>
      </c>
      <c r="BC7" s="165" t="n">
        <v>0.001518518518518518</v>
      </c>
      <c r="BD7" s="164" t="n">
        <v>0.001384259259259259</v>
      </c>
      <c r="BE7" s="148" t="n"/>
    </row>
    <row r="8">
      <c r="A8" s="163" t="inlineStr">
        <is>
          <t>400 Free</t>
        </is>
      </c>
      <c r="B8" s="164" t="n">
        <v>0.004601851851851852</v>
      </c>
      <c r="C8" s="165" t="n">
        <v>0.004710648148148148</v>
      </c>
      <c r="D8" s="164" t="n">
        <v>0.003935185185185185</v>
      </c>
      <c r="E8" s="165" t="n">
        <v>0.003966435185185185</v>
      </c>
      <c r="F8" s="164" t="n">
        <v>0.003505787037037037</v>
      </c>
      <c r="G8" s="165" t="n">
        <v>0.003640046296296296</v>
      </c>
      <c r="H8" s="164" t="n">
        <v>0.003385416666666667</v>
      </c>
      <c r="I8" s="165" t="n">
        <v>0.003400462962962963</v>
      </c>
      <c r="J8" s="164" t="n">
        <v>0.003325231481481482</v>
      </c>
      <c r="K8" s="165" t="n">
        <v>0.003394675925925926</v>
      </c>
      <c r="L8" s="164" t="n">
        <v>0.00331712962962963</v>
      </c>
      <c r="M8" s="165" t="n">
        <v>0.003373842592592593</v>
      </c>
      <c r="N8" s="164" t="n">
        <v>0.003130787037037037</v>
      </c>
      <c r="O8" s="165" t="n">
        <v>0.00324537037037037</v>
      </c>
      <c r="P8" s="164" t="n">
        <v>0.004560185185185185</v>
      </c>
      <c r="Q8" s="165" t="n">
        <v>0.004670138888888889</v>
      </c>
      <c r="R8" s="164" t="n">
        <v>0.003886574074074074</v>
      </c>
      <c r="S8" s="165" t="n">
        <v>0.003966435185185185</v>
      </c>
      <c r="T8" s="164" t="n">
        <v>0.003451388888888889</v>
      </c>
      <c r="U8" s="165" t="n">
        <v>0.003587962962962963</v>
      </c>
      <c r="V8" s="164" t="n">
        <v>0.003329861111111111</v>
      </c>
      <c r="W8" s="165" t="n">
        <v>0.003344907407407408</v>
      </c>
      <c r="X8" s="164" t="n">
        <v>0.003268518518518518</v>
      </c>
      <c r="Y8" s="165" t="n">
        <v>0.00333912037037037</v>
      </c>
      <c r="Z8" s="164" t="n">
        <v>0.003260416666666667</v>
      </c>
      <c r="AA8" s="165" t="n">
        <v>0.00331712962962963</v>
      </c>
      <c r="AB8" s="164" t="n">
        <v>0.003070601851851852</v>
      </c>
      <c r="AC8" s="165" t="n">
        <v>0.0031875</v>
      </c>
      <c r="AD8" s="164" t="n">
        <v>0.004364583333333334</v>
      </c>
      <c r="AE8" s="165" t="n">
        <v>0.00471875</v>
      </c>
      <c r="AF8" s="164" t="n">
        <v>0.003914351851851852</v>
      </c>
      <c r="AG8" s="165" t="n">
        <v>0.003982638888888889</v>
      </c>
      <c r="AH8" s="164" t="n">
        <v>0.003550925925925926</v>
      </c>
      <c r="AI8" s="165" t="n">
        <v>0.003724537037037037</v>
      </c>
      <c r="AJ8" s="164" t="n">
        <v>0.003259259259259259</v>
      </c>
      <c r="AK8" s="165" t="n">
        <v>0.003380787037037037</v>
      </c>
      <c r="AL8" s="164" t="n">
        <v>0.003252314814814815</v>
      </c>
      <c r="AM8" s="165" t="n">
        <v>0.003377314814814815</v>
      </c>
      <c r="AN8" s="164" t="n">
        <v>0.003027777777777778</v>
      </c>
      <c r="AO8" s="165" t="n">
        <v>0.003125</v>
      </c>
      <c r="AP8" s="164" t="n">
        <v>0.002989583333333334</v>
      </c>
      <c r="AQ8" s="165" t="n">
        <v>0.003122685185185185</v>
      </c>
      <c r="AR8" s="164" t="n">
        <v>0.004320601851851852</v>
      </c>
      <c r="AS8" s="165" t="n">
        <v>0.004678240740740741</v>
      </c>
      <c r="AT8" s="164" t="n">
        <v>0.003865740740740741</v>
      </c>
      <c r="AU8" s="165" t="n">
        <v>0.003935185185185185</v>
      </c>
      <c r="AV8" s="164" t="n">
        <v>0.003497685185185185</v>
      </c>
      <c r="AW8" s="165" t="n">
        <v>0.003673611111111111</v>
      </c>
      <c r="AX8" s="164" t="n">
        <v>0.003201388888888889</v>
      </c>
      <c r="AY8" s="165" t="n">
        <v>0.003325231481481482</v>
      </c>
      <c r="AZ8" s="164" t="n">
        <v>0.003194444444444445</v>
      </c>
      <c r="BA8" s="165" t="n">
        <v>0.003320601851851851</v>
      </c>
      <c r="BB8" s="164" t="n">
        <v>0.002965277777777778</v>
      </c>
      <c r="BC8" s="165" t="n">
        <v>0.003064814814814815</v>
      </c>
      <c r="BD8" s="164" t="n">
        <v>0.002925925925925926</v>
      </c>
      <c r="BE8" s="165" t="n">
        <v>0.0030625</v>
      </c>
    </row>
    <row r="9">
      <c r="A9" s="163" t="inlineStr">
        <is>
          <t>800 Free</t>
        </is>
      </c>
      <c r="B9" s="148" t="n"/>
      <c r="C9" s="148" t="n"/>
      <c r="D9" s="164" t="n">
        <v>0.008711805555555556</v>
      </c>
      <c r="E9" s="165" t="n">
        <v>0.009234953703703704</v>
      </c>
      <c r="F9" s="164" t="n">
        <v>0.007638888888888889</v>
      </c>
      <c r="G9" s="165" t="n">
        <v>0.00784837962962963</v>
      </c>
      <c r="H9" s="164" t="n">
        <v>0.007082175925925926</v>
      </c>
      <c r="I9" s="165" t="n">
        <v>0.0071875</v>
      </c>
      <c r="J9" s="164" t="n">
        <v>0.006853009259259259</v>
      </c>
      <c r="K9" s="165" t="n">
        <v>0.006934027777777778</v>
      </c>
      <c r="L9" s="164" t="n">
        <v>0.006797453703703703</v>
      </c>
      <c r="M9" s="165" t="n">
        <v>0.006916666666666667</v>
      </c>
      <c r="N9" s="164" t="n">
        <v>0.006511574074074074</v>
      </c>
      <c r="O9" s="165" t="n">
        <v>0.006752314814814814</v>
      </c>
      <c r="P9" s="148" t="n"/>
      <c r="Q9" s="148" t="n"/>
      <c r="R9" s="164" t="n">
        <v>0.008622685185185185</v>
      </c>
      <c r="S9" s="165" t="n">
        <v>0.009150462962962963</v>
      </c>
      <c r="T9" s="164" t="n">
        <v>0.007537037037037037</v>
      </c>
      <c r="U9" s="165" t="n">
        <v>0.007748842592592593</v>
      </c>
      <c r="V9" s="164" t="n">
        <v>0.006972222222222222</v>
      </c>
      <c r="W9" s="165" t="n">
        <v>0.007078703703703704</v>
      </c>
      <c r="X9" s="164" t="n">
        <v>0.006739583333333333</v>
      </c>
      <c r="Y9" s="165" t="n">
        <v>0.006821759259259259</v>
      </c>
      <c r="Z9" s="164" t="n">
        <v>0.00668287037037037</v>
      </c>
      <c r="AA9" s="165" t="n">
        <v>0.00680324074074074</v>
      </c>
      <c r="AB9" s="164" t="n">
        <v>0.006391203703703704</v>
      </c>
      <c r="AC9" s="165" t="n">
        <v>0.006636574074074073</v>
      </c>
      <c r="AD9" s="148" t="n"/>
      <c r="AE9" s="148" t="n"/>
      <c r="AF9" s="164" t="n">
        <v>0.00771875</v>
      </c>
      <c r="AG9" s="165" t="n">
        <v>0.008709490740740742</v>
      </c>
      <c r="AH9" s="164" t="n">
        <v>0.007630787037037037</v>
      </c>
      <c r="AI9" s="165" t="n">
        <v>0.008135416666666666</v>
      </c>
      <c r="AJ9" s="164" t="n">
        <v>0.006840277777777778</v>
      </c>
      <c r="AK9" s="165" t="n">
        <v>0.007483796296296297</v>
      </c>
      <c r="AL9" s="164" t="n">
        <v>0.006818287037037038</v>
      </c>
      <c r="AM9" s="165" t="n">
        <v>0.007387731481481481</v>
      </c>
      <c r="AN9" s="164" t="n">
        <v>0.006396990740740741</v>
      </c>
      <c r="AO9" s="165" t="n">
        <v>0.007041666666666667</v>
      </c>
      <c r="AP9" s="164" t="n">
        <v>0.006278935185185185</v>
      </c>
      <c r="AQ9" s="165" t="n">
        <v>0.00697337962962963</v>
      </c>
      <c r="AR9" s="148" t="n"/>
      <c r="AS9" s="148" t="n"/>
      <c r="AT9" s="164" t="n">
        <v>0.007625</v>
      </c>
      <c r="AU9" s="165" t="n">
        <v>0.00862037037037037</v>
      </c>
      <c r="AV9" s="164" t="n">
        <v>0.007528935185185185</v>
      </c>
      <c r="AW9" s="165" t="n">
        <v>0.008039351851851851</v>
      </c>
      <c r="AX9" s="164" t="n">
        <v>0.006725694444444445</v>
      </c>
      <c r="AY9" s="165" t="n">
        <v>0.00737962962962963</v>
      </c>
      <c r="AZ9" s="164" t="n">
        <v>0.006703703703703704</v>
      </c>
      <c r="BA9" s="165" t="n">
        <v>0.007282407407407408</v>
      </c>
      <c r="BB9" s="164" t="n">
        <v>0.006275462962962964</v>
      </c>
      <c r="BC9" s="165" t="n">
        <v>0.006930555555555555</v>
      </c>
      <c r="BD9" s="164" t="n">
        <v>0.006155092592592592</v>
      </c>
      <c r="BE9" s="165" t="n">
        <v>0.00686111111111111</v>
      </c>
    </row>
    <row r="10">
      <c r="A10" s="163" t="inlineStr">
        <is>
          <t>1500 Free</t>
        </is>
      </c>
      <c r="B10" s="148" t="n"/>
      <c r="C10" s="148" t="n"/>
      <c r="D10" s="164" t="n">
        <v>0.01422916666666667</v>
      </c>
      <c r="E10" s="165" t="n">
        <v>0.01450925925925926</v>
      </c>
      <c r="F10" s="164" t="n">
        <v>0.01373726851851852</v>
      </c>
      <c r="G10" s="165" t="n">
        <v>0.01382407407407408</v>
      </c>
      <c r="H10" s="164" t="n">
        <v>0.01317013888888889</v>
      </c>
      <c r="I10" s="165" t="n">
        <v>0.01380787037037037</v>
      </c>
      <c r="J10" s="164" t="n">
        <v>0.01300925925925926</v>
      </c>
      <c r="K10" s="165" t="n">
        <v>0.01377546296296296</v>
      </c>
      <c r="L10" s="164" t="n">
        <v>0.01292824074074074</v>
      </c>
      <c r="M10" s="165" t="n">
        <v>0.01291782407407407</v>
      </c>
      <c r="N10" s="164" t="n">
        <v>0.0126087962962963</v>
      </c>
      <c r="O10" s="165" t="n">
        <v>0.01328703703703704</v>
      </c>
      <c r="P10" s="148" t="n"/>
      <c r="Q10" s="148" t="n"/>
      <c r="R10" s="164" t="n">
        <v>0.01403356481481481</v>
      </c>
      <c r="S10" s="165" t="n">
        <v>0.01431712962962963</v>
      </c>
      <c r="T10" s="164" t="n">
        <v>0.01353472222222222</v>
      </c>
      <c r="U10" s="165" t="n">
        <v>0.01362268518518519</v>
      </c>
      <c r="V10" s="164" t="n">
        <v>0.01295833333333333</v>
      </c>
      <c r="W10" s="165" t="n">
        <v>0.01360648148148148</v>
      </c>
      <c r="X10" s="164" t="n">
        <v>0.01279513888888889</v>
      </c>
      <c r="Y10" s="165" t="n">
        <v>0.01357291666666667</v>
      </c>
      <c r="Z10" s="164" t="n">
        <v>0.01271296296296296</v>
      </c>
      <c r="AA10" s="165" t="n">
        <v>0.01340740740740741</v>
      </c>
      <c r="AB10" s="164" t="n">
        <v>0.01238773148148148</v>
      </c>
      <c r="AC10" s="165" t="n">
        <v>0.0130775462962963</v>
      </c>
      <c r="AD10" s="148" t="n"/>
      <c r="AE10" s="148" t="n"/>
      <c r="AF10" s="164" t="n">
        <v>0.01635300925925926</v>
      </c>
      <c r="AG10" s="165" t="n">
        <v>0.01700694444444445</v>
      </c>
      <c r="AH10" s="164" t="n">
        <v>0.01476041666666667</v>
      </c>
      <c r="AI10" s="165" t="n">
        <v>0.01675694444444444</v>
      </c>
      <c r="AJ10" s="164" t="n">
        <v>0.0126875</v>
      </c>
      <c r="AK10" s="165" t="n">
        <v>0.01354282407407407</v>
      </c>
      <c r="AL10" s="164" t="n">
        <v>0.0126875</v>
      </c>
      <c r="AM10" s="165" t="n">
        <v>0.01347453703703704</v>
      </c>
      <c r="AN10" s="164" t="n">
        <v>0.01207291666666667</v>
      </c>
      <c r="AO10" s="165" t="n">
        <v>0.01288657407407407</v>
      </c>
      <c r="AP10" s="164" t="n">
        <v>0.01202199074074074</v>
      </c>
      <c r="AQ10" s="165" t="n">
        <v>0.01354513888888889</v>
      </c>
      <c r="AR10" s="148" t="n"/>
      <c r="AS10" s="148" t="n"/>
      <c r="AT10" s="164" t="n">
        <v>0.01618287037037037</v>
      </c>
      <c r="AU10" s="165" t="n">
        <v>0.01684259259259259</v>
      </c>
      <c r="AV10" s="164" t="n">
        <v>0.01457175925925926</v>
      </c>
      <c r="AW10" s="165" t="n">
        <v>0.01588888888888889</v>
      </c>
      <c r="AX10" s="164" t="n">
        <v>0.01246759259259259</v>
      </c>
      <c r="AY10" s="165" t="n">
        <v>0.01333680555555555</v>
      </c>
      <c r="AZ10" s="164" t="n">
        <v>0.01227662037037037</v>
      </c>
      <c r="BA10" s="165" t="n">
        <v>0.01326736111111111</v>
      </c>
      <c r="BB10" s="164" t="n">
        <v>0.01184259259259259</v>
      </c>
      <c r="BC10" s="165" t="n">
        <v>0.01297106481481482</v>
      </c>
      <c r="BD10" s="164" t="n">
        <v>0.01179050925925926</v>
      </c>
      <c r="BE10" s="165" t="n">
        <v>0.01333912037037037</v>
      </c>
    </row>
    <row r="11">
      <c r="A11" s="163" t="inlineStr">
        <is>
          <t>50 Breast</t>
        </is>
      </c>
      <c r="B11" s="164" t="n">
        <v>0.0005603009259259259</v>
      </c>
      <c r="C11" s="165" t="n">
        <v>0.0006512731481481482</v>
      </c>
      <c r="D11" s="164" t="n">
        <v>0.0005018518518518519</v>
      </c>
      <c r="E11" s="165" t="n">
        <v>0.0005436342592592592</v>
      </c>
      <c r="F11" s="164" t="n">
        <v>0.0004689814814814815</v>
      </c>
      <c r="G11" s="165" t="n">
        <v>0.00050625</v>
      </c>
      <c r="H11" s="164" t="n">
        <v>0.0004377314814814815</v>
      </c>
      <c r="I11" s="165" t="n">
        <v>0.0004689814814814815</v>
      </c>
      <c r="J11" s="164" t="n">
        <v>0.0004293981481481482</v>
      </c>
      <c r="K11" s="165" t="n">
        <v>0.000468287037037037</v>
      </c>
      <c r="L11" s="164" t="n">
        <v>0.0004283564814814814</v>
      </c>
      <c r="M11" s="165" t="n">
        <v>0.0004648148148148148</v>
      </c>
      <c r="N11" s="164" t="n">
        <v>0.0004108796296296296</v>
      </c>
      <c r="O11" s="165" t="n">
        <v>0.0004461805555555555</v>
      </c>
      <c r="P11" s="164" t="n">
        <v>0.0005532407407407408</v>
      </c>
      <c r="Q11" s="165" t="n">
        <v>0.0006446759259259259</v>
      </c>
      <c r="R11" s="164" t="n">
        <v>0.0004930555555555556</v>
      </c>
      <c r="S11" s="165" t="n">
        <v>0.0005358796296296296</v>
      </c>
      <c r="T11" s="164" t="n">
        <v>0.0004594907407407408</v>
      </c>
      <c r="U11" s="165" t="n">
        <v>0.0004976851851851852</v>
      </c>
      <c r="V11" s="164" t="n">
        <v>0.0004282407407407408</v>
      </c>
      <c r="W11" s="165" t="n">
        <v>0.0004594907407407408</v>
      </c>
      <c r="X11" s="164" t="n">
        <v>0.0004189814814814815</v>
      </c>
      <c r="Y11" s="165" t="n">
        <v>0.0004594907407407408</v>
      </c>
      <c r="Z11" s="164" t="n">
        <v>0.0004189814814814815</v>
      </c>
      <c r="AA11" s="165" t="n">
        <v>0.0004560185185185185</v>
      </c>
      <c r="AB11" s="164" t="n">
        <v>0.000400462962962963</v>
      </c>
      <c r="AC11" s="165" t="n">
        <v>0.0004363425925925926</v>
      </c>
      <c r="AD11" s="164" t="n">
        <v>0.000575</v>
      </c>
      <c r="AE11" s="165" t="n">
        <v>0.0006515046296296296</v>
      </c>
      <c r="AF11" s="164" t="n">
        <v>0.0005104166666666667</v>
      </c>
      <c r="AG11" s="165" t="n">
        <v>0.000560763888888889</v>
      </c>
      <c r="AH11" s="164" t="n">
        <v>0.0004582175925925926</v>
      </c>
      <c r="AI11" s="165" t="n">
        <v>0.0005077546296296296</v>
      </c>
      <c r="AJ11" s="164" t="n">
        <v>0.000446412037037037</v>
      </c>
      <c r="AK11" s="165" t="n">
        <v>0.0004883101851851852</v>
      </c>
      <c r="AL11" s="164" t="n">
        <v>0.0003958333333333334</v>
      </c>
      <c r="AM11" s="165" t="n">
        <v>0.0004599537037037037</v>
      </c>
      <c r="AN11" s="164" t="n">
        <v>0.00038125</v>
      </c>
      <c r="AO11" s="165" t="n">
        <v>0.0004166666666666667</v>
      </c>
      <c r="AP11" s="164" t="n">
        <v>0.0003621527777777778</v>
      </c>
      <c r="AQ11" s="165" t="n">
        <v>0.0003981481481481481</v>
      </c>
      <c r="AR11" s="164" t="n">
        <v>0.0005671296296296297</v>
      </c>
      <c r="AS11" s="165" t="n">
        <v>0.0006446759259259259</v>
      </c>
      <c r="AT11" s="164" t="n">
        <v>0.0005023148148148148</v>
      </c>
      <c r="AU11" s="165" t="n">
        <v>0.0005532407407407408</v>
      </c>
      <c r="AV11" s="164" t="n">
        <v>0.0004490740740740741</v>
      </c>
      <c r="AW11" s="165" t="n">
        <v>0.0004988425925925926</v>
      </c>
      <c r="AX11" s="164" t="n">
        <v>0.0004363425925925926</v>
      </c>
      <c r="AY11" s="165" t="n">
        <v>0.0004791666666666666</v>
      </c>
      <c r="AZ11" s="164" t="n">
        <v>0.0003854166666666666</v>
      </c>
      <c r="BA11" s="165" t="n">
        <v>0.0004502314814814815</v>
      </c>
      <c r="BB11" s="164" t="n">
        <v>0.0003703703703703704</v>
      </c>
      <c r="BC11" s="165" t="n">
        <v>0.00040625</v>
      </c>
      <c r="BD11" s="164" t="n">
        <v>0.0003506944444444444</v>
      </c>
      <c r="BE11" s="165" t="n">
        <v>0.0003877314814814815</v>
      </c>
    </row>
    <row r="12">
      <c r="A12" s="163" t="inlineStr">
        <is>
          <t>100 Breast</t>
        </is>
      </c>
      <c r="B12" s="164" t="n">
        <v>0.00121875</v>
      </c>
      <c r="C12" s="165" t="n">
        <v>0.001387731481481482</v>
      </c>
      <c r="D12" s="164" t="n">
        <v>0.00112037037037037</v>
      </c>
      <c r="E12" s="165" t="n">
        <v>0.001197916666666667</v>
      </c>
      <c r="F12" s="164" t="n">
        <v>0.001042824074074074</v>
      </c>
      <c r="G12" s="165" t="n">
        <v>0.001112268518518519</v>
      </c>
      <c r="H12" s="164" t="n">
        <v>0.0009803240740740742</v>
      </c>
      <c r="I12" s="165" t="n">
        <v>0.001042824074074074</v>
      </c>
      <c r="J12" s="164" t="n">
        <v>0.0009363425925925927</v>
      </c>
      <c r="K12" s="165" t="n">
        <v>0.001039351851851852</v>
      </c>
      <c r="L12" s="164" t="n">
        <v>0.0009351851851851852</v>
      </c>
      <c r="M12" s="165" t="n">
        <v>0.001033564814814815</v>
      </c>
      <c r="N12" s="164" t="n">
        <v>0.0008761574074074074</v>
      </c>
      <c r="O12" s="165" t="n">
        <v>0.0009606481481481482</v>
      </c>
      <c r="P12" s="164" t="n">
        <v>0.001204861111111111</v>
      </c>
      <c r="Q12" s="165" t="n">
        <v>0.001375</v>
      </c>
      <c r="R12" s="164" t="n">
        <v>0.001105324074074074</v>
      </c>
      <c r="S12" s="165" t="n">
        <v>0.001184027777777778</v>
      </c>
      <c r="T12" s="164" t="n">
        <v>0.00102662037037037</v>
      </c>
      <c r="U12" s="165" t="n">
        <v>0.001097222222222222</v>
      </c>
      <c r="V12" s="164" t="n">
        <v>0.000962962962962963</v>
      </c>
      <c r="W12" s="165" t="n">
        <v>0.00102662037037037</v>
      </c>
      <c r="X12" s="164" t="n">
        <v>0.0009178240740740741</v>
      </c>
      <c r="Y12" s="165" t="n">
        <v>0.001023148148148148</v>
      </c>
      <c r="Z12" s="164" t="n">
        <v>0.0009166666666666666</v>
      </c>
      <c r="AA12" s="165" t="n">
        <v>0.001017361111111111</v>
      </c>
      <c r="AB12" s="164" t="n">
        <v>0.0008564814814814815</v>
      </c>
      <c r="AC12" s="165" t="n">
        <v>0.0009432870370370371</v>
      </c>
      <c r="AD12" s="164" t="n">
        <v>0.001241898148148148</v>
      </c>
      <c r="AE12" s="165" t="n">
        <v>0.001414351851851852</v>
      </c>
      <c r="AF12" s="164" t="n">
        <v>0.00115162037037037</v>
      </c>
      <c r="AG12" s="165" t="n">
        <v>0.001244212962962963</v>
      </c>
      <c r="AH12" s="164" t="n">
        <v>0.001028935185185185</v>
      </c>
      <c r="AI12" s="165" t="n">
        <v>0.001130787037037037</v>
      </c>
      <c r="AJ12" s="164" t="n">
        <v>0.0009861111111111112</v>
      </c>
      <c r="AK12" s="165" t="n">
        <v>0.001090277777777778</v>
      </c>
      <c r="AL12" s="164" t="n">
        <v>0.0008946759259259259</v>
      </c>
      <c r="AM12" s="165" t="n">
        <v>0.000988425925925926</v>
      </c>
      <c r="AN12" s="164" t="n">
        <v>0.0008414351851851852</v>
      </c>
      <c r="AO12" s="165" t="n">
        <v>0.000925925925925926</v>
      </c>
      <c r="AP12" s="164" t="n">
        <v>0.0008206018518518519</v>
      </c>
      <c r="AQ12" s="165" t="n">
        <v>0.000912037037037037</v>
      </c>
      <c r="AR12" s="164" t="n">
        <v>0.001228009259259259</v>
      </c>
      <c r="AS12" s="165" t="n">
        <v>0.001402777777777778</v>
      </c>
      <c r="AT12" s="164" t="n">
        <v>0.001136574074074074</v>
      </c>
      <c r="AU12" s="165" t="n">
        <v>0.001230324074074074</v>
      </c>
      <c r="AV12" s="164" t="n">
        <v>0.001012731481481481</v>
      </c>
      <c r="AW12" s="165" t="n">
        <v>0.001115740740740741</v>
      </c>
      <c r="AX12" s="164" t="n">
        <v>0.00096875</v>
      </c>
      <c r="AY12" s="165" t="n">
        <v>0.001074074074074074</v>
      </c>
      <c r="AZ12" s="164" t="n">
        <v>0.0008761574074074074</v>
      </c>
      <c r="BA12" s="165" t="n">
        <v>0.0009710648148148149</v>
      </c>
      <c r="BB12" s="164" t="n">
        <v>0.0008206018518518519</v>
      </c>
      <c r="BC12" s="165" t="n">
        <v>0.0009074074074074074</v>
      </c>
      <c r="BD12" s="164" t="n">
        <v>0.0007997685185185184</v>
      </c>
      <c r="BE12" s="165" t="n">
        <v>0.0008935185185185185</v>
      </c>
    </row>
    <row r="13">
      <c r="A13" s="163" t="inlineStr">
        <is>
          <t>200 Breast</t>
        </is>
      </c>
      <c r="B13" s="164" t="n">
        <v>0.00259837962962963</v>
      </c>
      <c r="C13" s="165" t="n">
        <v>0.002907407407407407</v>
      </c>
      <c r="D13" s="164" t="n">
        <v>0.002413194444444444</v>
      </c>
      <c r="E13" s="165" t="n">
        <v>0.002569444444444445</v>
      </c>
      <c r="F13" s="164" t="n">
        <v>0.002240740740740741</v>
      </c>
      <c r="G13" s="165" t="n">
        <v>0.002369212962962963</v>
      </c>
      <c r="H13" s="164" t="n">
        <v>0.002131944444444444</v>
      </c>
      <c r="I13" s="165" t="n">
        <v>0.002212962962962963</v>
      </c>
      <c r="J13" s="164" t="n">
        <v>0.001987268518518518</v>
      </c>
      <c r="K13" s="165" t="n">
        <v>0.002196759259259259</v>
      </c>
      <c r="L13" s="164" t="n">
        <v>0.001986111111111111</v>
      </c>
      <c r="M13" s="165" t="n">
        <v>0.002195601851851852</v>
      </c>
      <c r="N13" s="164" t="n">
        <v>0.001935185185185185</v>
      </c>
      <c r="O13" s="165" t="n">
        <v>0.002177083333333333</v>
      </c>
      <c r="P13" s="164" t="n">
        <v>0.002570601851851852</v>
      </c>
      <c r="Q13" s="165" t="n">
        <v>0.002883101851851852</v>
      </c>
      <c r="R13" s="164" t="n">
        <v>0.002383101851851852</v>
      </c>
      <c r="S13" s="165" t="n">
        <v>0.002541666666666666</v>
      </c>
      <c r="T13" s="164" t="n">
        <v>0.002208333333333333</v>
      </c>
      <c r="U13" s="165" t="n">
        <v>0.00233912037037037</v>
      </c>
      <c r="V13" s="164" t="n">
        <v>0.00209837962962963</v>
      </c>
      <c r="W13" s="165" t="n">
        <v>0.002180555555555556</v>
      </c>
      <c r="X13" s="164" t="n">
        <v>0.001951388888888889</v>
      </c>
      <c r="Y13" s="165" t="n">
        <v>0.002164351851851852</v>
      </c>
      <c r="Z13" s="164" t="n">
        <v>0.001950231481481481</v>
      </c>
      <c r="AA13" s="165" t="n">
        <v>0.002163194444444445</v>
      </c>
      <c r="AB13" s="164" t="n">
        <v>0.001898148148148148</v>
      </c>
      <c r="AC13" s="165" t="n">
        <v>0.002144675925925926</v>
      </c>
      <c r="AD13" s="164" t="n">
        <v>0.002907407407407407</v>
      </c>
      <c r="AE13" s="165" t="n">
        <v>0.003082175925925926</v>
      </c>
      <c r="AF13" s="164" t="n">
        <v>0.002399305555555556</v>
      </c>
      <c r="AG13" s="165" t="n">
        <v>0.00258912037037037</v>
      </c>
      <c r="AH13" s="164" t="n">
        <v>0.002252314814814815</v>
      </c>
      <c r="AI13" s="165" t="n">
        <v>0.002396990740740741</v>
      </c>
      <c r="AJ13" s="164" t="n">
        <v>0.002159722222222222</v>
      </c>
      <c r="AK13" s="165" t="n">
        <v>0.002296296296296296</v>
      </c>
      <c r="AL13" s="164" t="n">
        <v>0.002</v>
      </c>
      <c r="AM13" s="165" t="n">
        <v>0.002196759259259259</v>
      </c>
      <c r="AN13" s="164" t="n">
        <v>0.001788194444444444</v>
      </c>
      <c r="AO13" s="165" t="n">
        <v>0.002041666666666667</v>
      </c>
      <c r="AP13" s="164" t="n">
        <v>0.001797453703703704</v>
      </c>
      <c r="AQ13" s="165" t="n">
        <v>0.001853009259259259</v>
      </c>
      <c r="AR13" s="164" t="n">
        <v>0.002883101851851852</v>
      </c>
      <c r="AS13" s="165" t="n">
        <v>0.003059027777777778</v>
      </c>
      <c r="AT13" s="164" t="n">
        <v>0.002369212962962963</v>
      </c>
      <c r="AU13" s="165" t="n">
        <v>0.002561342592592593</v>
      </c>
      <c r="AV13" s="164" t="n">
        <v>0.002221064814814815</v>
      </c>
      <c r="AW13" s="165" t="n">
        <v>0.002366898148148148</v>
      </c>
      <c r="AX13" s="164" t="n">
        <v>0.002126157407407407</v>
      </c>
      <c r="AY13" s="165" t="n">
        <v>0.002265046296296296</v>
      </c>
      <c r="AZ13" s="164" t="n">
        <v>0.00196412037037037</v>
      </c>
      <c r="BA13" s="165" t="n">
        <v>0.002164351851851852</v>
      </c>
      <c r="BB13" s="164" t="n">
        <v>0.001748842592592592</v>
      </c>
      <c r="BC13" s="165" t="n">
        <v>0.002006944444444444</v>
      </c>
      <c r="BD13" s="164" t="n">
        <v>0.001758101851851852</v>
      </c>
      <c r="BE13" s="165" t="n">
        <v>0.001814814814814815</v>
      </c>
    </row>
    <row r="14">
      <c r="A14" s="163" t="inlineStr">
        <is>
          <t>50 Fly</t>
        </is>
      </c>
      <c r="B14" s="164" t="n">
        <v>0.0004920138888888888</v>
      </c>
      <c r="C14" s="165" t="n">
        <v>0.0005846064814814814</v>
      </c>
      <c r="D14" s="164" t="n">
        <v>0.0004241898148148148</v>
      </c>
      <c r="E14" s="165" t="n">
        <v>0.0004715277777777778</v>
      </c>
      <c r="F14" s="164" t="n">
        <v>0.0003822916666666667</v>
      </c>
      <c r="G14" s="165" t="n">
        <v>0.0004186342592592593</v>
      </c>
      <c r="H14" s="164" t="n">
        <v>0.0003637731481481482</v>
      </c>
      <c r="I14" s="165" t="n">
        <v>0.0004003472222222222</v>
      </c>
      <c r="J14" s="164" t="n">
        <v>0.0003585648148148148</v>
      </c>
      <c r="K14" s="165" t="n">
        <v>0.0003929398148148148</v>
      </c>
      <c r="L14" s="164" t="n">
        <v>0.0003583333333333333</v>
      </c>
      <c r="M14" s="165" t="n">
        <v>0.0003821759259259259</v>
      </c>
      <c r="N14" s="164" t="n">
        <v>0.0003456018518518518</v>
      </c>
      <c r="O14" s="165" t="n">
        <v>0.0003715277777777778</v>
      </c>
      <c r="P14" s="164" t="n">
        <v>0.0004872685185185186</v>
      </c>
      <c r="Q14" s="165" t="n">
        <v>0.0005798611111111112</v>
      </c>
      <c r="R14" s="164" t="n">
        <v>0.0004178240740740741</v>
      </c>
      <c r="S14" s="165" t="n">
        <v>0.0004664351851851851</v>
      </c>
      <c r="T14" s="164" t="n">
        <v>0.0003761574074074074</v>
      </c>
      <c r="U14" s="165" t="n">
        <v>0.000412037037037037</v>
      </c>
      <c r="V14" s="164" t="n">
        <v>0.0003564814814814815</v>
      </c>
      <c r="W14" s="165" t="n">
        <v>0.0003935185185185185</v>
      </c>
      <c r="X14" s="164" t="n">
        <v>0.0003518518518518518</v>
      </c>
      <c r="Y14" s="165" t="n">
        <v>0.0003865740740740741</v>
      </c>
      <c r="Z14" s="164" t="n">
        <v>0.0003506944444444444</v>
      </c>
      <c r="AA14" s="165" t="n">
        <v>0.000375</v>
      </c>
      <c r="AB14" s="164" t="n">
        <v>0.000337962962962963</v>
      </c>
      <c r="AC14" s="165" t="n">
        <v>0.0003645833333333333</v>
      </c>
      <c r="AD14" s="164" t="n">
        <v>0.0004855324074074075</v>
      </c>
      <c r="AE14" s="165" t="n">
        <v>0.0005894675925925926</v>
      </c>
      <c r="AF14" s="164" t="n">
        <v>0.0004172453703703703</v>
      </c>
      <c r="AG14" s="165" t="n">
        <v>0.000470949074074074</v>
      </c>
      <c r="AH14" s="164" t="n">
        <v>0.0003899305555555555</v>
      </c>
      <c r="AI14" s="165" t="n">
        <v>0.0004299768518518519</v>
      </c>
      <c r="AJ14" s="164" t="n">
        <v>0.0003664351851851852</v>
      </c>
      <c r="AK14" s="165" t="n">
        <v>0.0004149305555555556</v>
      </c>
      <c r="AL14" s="164" t="n">
        <v>0.0003434027777777778</v>
      </c>
      <c r="AM14" s="165" t="n">
        <v>0.0003788194444444444</v>
      </c>
      <c r="AN14" s="164" t="n">
        <v>0.0003299768518518519</v>
      </c>
      <c r="AO14" s="165" t="n">
        <v>0.0003480324074074074</v>
      </c>
      <c r="AP14" s="164" t="n">
        <v>0.0003122685185185185</v>
      </c>
      <c r="AQ14" s="165" t="n">
        <v>0.0003395833333333333</v>
      </c>
      <c r="AR14" s="164" t="n">
        <v>0.0004803240740740741</v>
      </c>
      <c r="AS14" s="165" t="n">
        <v>0.0005856481481481482</v>
      </c>
      <c r="AT14" s="164" t="n">
        <v>0.0004108796296296296</v>
      </c>
      <c r="AU14" s="165" t="n">
        <v>0.0004652777777777778</v>
      </c>
      <c r="AV14" s="164" t="n">
        <v>0.0003831018518518519</v>
      </c>
      <c r="AW14" s="165" t="n">
        <v>0.0004236111111111112</v>
      </c>
      <c r="AX14" s="164" t="n">
        <v>0.0003587962962962963</v>
      </c>
      <c r="AY14" s="165" t="n">
        <v>0.0004085648148148148</v>
      </c>
      <c r="AZ14" s="164" t="n">
        <v>0.0003356481481481481</v>
      </c>
      <c r="BA14" s="165" t="n">
        <v>0.0003715277777777778</v>
      </c>
      <c r="BB14" s="164" t="n">
        <v>0.0003217592592592593</v>
      </c>
      <c r="BC14" s="165" t="n">
        <v>0.0003402777777777778</v>
      </c>
      <c r="BD14" s="164" t="n">
        <v>0.0003043981481481481</v>
      </c>
      <c r="BE14" s="165" t="n">
        <v>0.0003321759259259259</v>
      </c>
    </row>
    <row r="15">
      <c r="A15" s="163" t="inlineStr">
        <is>
          <t>100 Fly</t>
        </is>
      </c>
      <c r="B15" s="164" t="n">
        <v>0.001162037037037037</v>
      </c>
      <c r="C15" s="165" t="n">
        <v>0.001393518518518519</v>
      </c>
      <c r="D15" s="164" t="n">
        <v>0.001012731481481481</v>
      </c>
      <c r="E15" s="165" t="n">
        <v>0.001162037037037037</v>
      </c>
      <c r="F15" s="164" t="n">
        <v>0.0008981481481481481</v>
      </c>
      <c r="G15" s="165" t="n">
        <v>0.001019675925925926</v>
      </c>
      <c r="H15" s="164" t="n">
        <v>0.0008217592592592593</v>
      </c>
      <c r="I15" s="165" t="n">
        <v>0.0009224537037037038</v>
      </c>
      <c r="J15" s="164" t="n">
        <v>0.0008206018518518519</v>
      </c>
      <c r="K15" s="165" t="n">
        <v>0.0009212962962962963</v>
      </c>
      <c r="L15" s="164" t="n">
        <v>0.0008194444444444444</v>
      </c>
      <c r="M15" s="165" t="n">
        <v>0.0008981481481481481</v>
      </c>
      <c r="N15" s="164" t="n">
        <v>0.0007662037037037037</v>
      </c>
      <c r="O15" s="165" t="n">
        <v>0.0008159722222222223</v>
      </c>
      <c r="P15" s="164" t="n">
        <v>0.0007407407407407407</v>
      </c>
      <c r="Q15" s="165" t="n">
        <v>0.001386574074074074</v>
      </c>
      <c r="R15" s="164" t="n">
        <v>0.001002314814814815</v>
      </c>
      <c r="S15" s="165" t="n">
        <v>0.001152777777777778</v>
      </c>
      <c r="T15" s="164" t="n">
        <v>0.000886574074074074</v>
      </c>
      <c r="U15" s="165" t="n">
        <v>0.001009259259259259</v>
      </c>
      <c r="V15" s="164" t="n">
        <v>0.0008090277777777779</v>
      </c>
      <c r="W15" s="165" t="n">
        <v>0.0009108796296296296</v>
      </c>
      <c r="X15" s="164" t="n">
        <v>0.0008101851851851852</v>
      </c>
      <c r="Y15" s="165" t="n">
        <v>0.0009155092592592591</v>
      </c>
      <c r="Z15" s="164" t="n">
        <v>0.0008136574074074074</v>
      </c>
      <c r="AA15" s="165" t="n">
        <v>0.000886574074074074</v>
      </c>
      <c r="AB15" s="164" t="n">
        <v>0.0007523148148148148</v>
      </c>
      <c r="AC15" s="165" t="n">
        <v>0.0008032407407407408</v>
      </c>
      <c r="AD15" s="164" t="n">
        <v>0.001159722222222222</v>
      </c>
      <c r="AE15" s="165" t="n">
        <v>0.001383101851851852</v>
      </c>
      <c r="AF15" s="164" t="n">
        <v>0.001038194444444444</v>
      </c>
      <c r="AG15" s="165" t="n">
        <v>0.001193287037037037</v>
      </c>
      <c r="AH15" s="164" t="n">
        <v>0.0009131944444444446</v>
      </c>
      <c r="AI15" s="165" t="n">
        <v>0.001025462962962963</v>
      </c>
      <c r="AJ15" s="164" t="n">
        <v>0.0008460648148148148</v>
      </c>
      <c r="AK15" s="165" t="n">
        <v>0.0009918981481481482</v>
      </c>
      <c r="AL15" s="164" t="n">
        <v>0.0007974537037037038</v>
      </c>
      <c r="AM15" s="165" t="n">
        <v>0.0008703703703703704</v>
      </c>
      <c r="AN15" s="164" t="n">
        <v>0.0007384259259259259</v>
      </c>
      <c r="AO15" s="165" t="n">
        <v>0.0008275462962962963</v>
      </c>
      <c r="AP15" s="164" t="n">
        <v>0.0007048611111111111</v>
      </c>
      <c r="AQ15" s="165" t="n">
        <v>0.0007881944444444443</v>
      </c>
      <c r="AR15" s="164" t="n">
        <v>0.001150462962962963</v>
      </c>
      <c r="AS15" s="165" t="n">
        <v>0.001376157407407408</v>
      </c>
      <c r="AT15" s="164" t="n">
        <v>0.001027777777777778</v>
      </c>
      <c r="AU15" s="165" t="n">
        <v>0.001185185185185185</v>
      </c>
      <c r="AV15" s="164" t="n">
        <v>0.0009016203703703704</v>
      </c>
      <c r="AW15" s="165" t="n">
        <v>0.001015046296296296</v>
      </c>
      <c r="AX15" s="164" t="n">
        <v>0.0008344907407407407</v>
      </c>
      <c r="AY15" s="165" t="n">
        <v>0.0009814814814814814</v>
      </c>
      <c r="AZ15" s="164" t="n">
        <v>0.0007847222222222221</v>
      </c>
      <c r="BA15" s="165" t="n">
        <v>0.0008587962962962963</v>
      </c>
      <c r="BB15" s="164" t="n">
        <v>0.0007245370370370371</v>
      </c>
      <c r="BC15" s="165" t="n">
        <v>0.0008148148148148149</v>
      </c>
      <c r="BD15" s="164" t="n">
        <v>0.0006898148148148149</v>
      </c>
      <c r="BE15" s="165" t="n">
        <v>0.0007754629629629629</v>
      </c>
    </row>
    <row r="16">
      <c r="A16" s="163" t="inlineStr">
        <is>
          <t>200 Fly</t>
        </is>
      </c>
      <c r="B16" s="164" t="n">
        <v>0.002633101851851852</v>
      </c>
      <c r="C16" s="165" t="n">
        <v>0.003113425925925926</v>
      </c>
      <c r="D16" s="164" t="n">
        <v>0.002619212962962963</v>
      </c>
      <c r="E16" s="165" t="n">
        <v>0.003076388888888889</v>
      </c>
      <c r="F16" s="164" t="n">
        <v>0.00202662037037037</v>
      </c>
      <c r="G16" s="165" t="n">
        <v>0.002391203703703704</v>
      </c>
      <c r="H16" s="164" t="n">
        <v>0.001871527777777778</v>
      </c>
      <c r="I16" s="165" t="n">
        <v>0.002071759259259259</v>
      </c>
      <c r="J16" s="164" t="n">
        <v>0.001850694444444445</v>
      </c>
      <c r="K16" s="165" t="n">
        <v>0.001975694444444444</v>
      </c>
      <c r="L16" s="164" t="n">
        <v>0.001836805555555556</v>
      </c>
      <c r="M16" s="165" t="n">
        <v>0.001956018518518518</v>
      </c>
      <c r="N16" s="164" t="n">
        <v>0.001704861111111111</v>
      </c>
      <c r="O16" s="165" t="n">
        <v>0.001797453703703704</v>
      </c>
      <c r="P16" s="164" t="n">
        <v>0.002616898148148148</v>
      </c>
      <c r="Q16" s="165" t="n">
        <v>0.003099537037037037</v>
      </c>
      <c r="R16" s="164" t="n">
        <v>0.002603009259259259</v>
      </c>
      <c r="S16" s="165" t="n">
        <v>0.0030625</v>
      </c>
      <c r="T16" s="164" t="n">
        <v>0.002005787037037037</v>
      </c>
      <c r="U16" s="165" t="n">
        <v>0.002373842592592592</v>
      </c>
      <c r="V16" s="164" t="n">
        <v>0.00184837962962963</v>
      </c>
      <c r="W16" s="165" t="n">
        <v>0.002050925925925926</v>
      </c>
      <c r="X16" s="164" t="n">
        <v>0.001827546296296296</v>
      </c>
      <c r="Y16" s="165" t="n">
        <v>0.001953703703703704</v>
      </c>
      <c r="Z16" s="164" t="n">
        <v>0.001696759259259259</v>
      </c>
      <c r="AA16" s="165" t="n">
        <v>0.001934027777777778</v>
      </c>
      <c r="AB16" s="164" t="n">
        <v>0.001679398148148148</v>
      </c>
      <c r="AC16" s="165" t="n">
        <v>0.001774305555555556</v>
      </c>
      <c r="AD16" s="164" t="n">
        <v>0.00250462962962963</v>
      </c>
      <c r="AE16" s="165" t="n">
        <v>0.002655092592592593</v>
      </c>
      <c r="AF16" s="164" t="n">
        <v>0.002478009259259259</v>
      </c>
      <c r="AG16" s="165" t="n">
        <v>0.002626157407407407</v>
      </c>
      <c r="AH16" s="164" t="n">
        <v>0.002055555555555556</v>
      </c>
      <c r="AI16" s="165" t="n">
        <v>0.00240625</v>
      </c>
      <c r="AJ16" s="164" t="n">
        <v>0.001998842592592592</v>
      </c>
      <c r="AK16" s="165" t="n">
        <v>0.002315972222222222</v>
      </c>
      <c r="AL16" s="164" t="n">
        <v>0.001939814814814815</v>
      </c>
      <c r="AM16" s="165" t="n">
        <v>0.002018518518518518</v>
      </c>
      <c r="AN16" s="164" t="n">
        <v>0.001652777777777778</v>
      </c>
      <c r="AO16" s="165" t="n">
        <v>0.002009259259259259</v>
      </c>
      <c r="AP16" s="164" t="n">
        <v>0.001612268518518519</v>
      </c>
      <c r="AQ16" s="165" t="n">
        <v>0.001950231481481481</v>
      </c>
      <c r="AR16" s="164" t="n">
        <v>0.002371527777777778</v>
      </c>
      <c r="AS16" s="165" t="n">
        <v>0.002420138888888889</v>
      </c>
      <c r="AT16" s="164" t="n">
        <v>0.002460648148148148</v>
      </c>
      <c r="AU16" s="165" t="n">
        <v>0.002609953703703704</v>
      </c>
      <c r="AV16" s="164" t="n">
        <v>0.002034722222222222</v>
      </c>
      <c r="AW16" s="165" t="n">
        <v>0.002388888888888889</v>
      </c>
      <c r="AX16" s="164" t="n">
        <v>0.001978009259259259</v>
      </c>
      <c r="AY16" s="165" t="n">
        <v>0.002297453703703704</v>
      </c>
      <c r="AZ16" s="164" t="n">
        <v>0.001917824074074074</v>
      </c>
      <c r="BA16" s="165" t="n">
        <v>0.001997685185185185</v>
      </c>
      <c r="BB16" s="164" t="n">
        <v>0.001627314814814815</v>
      </c>
      <c r="BC16" s="165" t="n">
        <v>0.001988425925925926</v>
      </c>
      <c r="BD16" s="164" t="n">
        <v>0.001585648148148148</v>
      </c>
      <c r="BE16" s="165" t="n">
        <v>0.001928240740740741</v>
      </c>
    </row>
    <row r="17">
      <c r="A17" s="163" t="inlineStr">
        <is>
          <t>50 Back</t>
        </is>
      </c>
      <c r="B17" s="164" t="n">
        <v>0.0004934027777777778</v>
      </c>
      <c r="C17" s="165" t="n">
        <v>0.0005423611111111111</v>
      </c>
      <c r="D17" s="164" t="n">
        <v>0.0004482638888888888</v>
      </c>
      <c r="E17" s="165" t="n">
        <v>0.0004778935185185185</v>
      </c>
      <c r="F17" s="164" t="n">
        <v>0.0004157407407407408</v>
      </c>
      <c r="G17" s="165" t="n">
        <v>0.000447337962962963</v>
      </c>
      <c r="H17" s="164" t="n">
        <v>0.0003952546296296296</v>
      </c>
      <c r="I17" s="165" t="n">
        <v>0.0004333333333333333</v>
      </c>
      <c r="J17" s="164" t="n">
        <v>0.0003858796296296297</v>
      </c>
      <c r="K17" s="165" t="n">
        <v>0.0004254629629629629</v>
      </c>
      <c r="L17" s="164" t="n">
        <v>0.0003826388888888889</v>
      </c>
      <c r="M17" s="165" t="n">
        <v>0.0004202546296296296</v>
      </c>
      <c r="N17" s="164" t="n">
        <v>0.0003594907407407407</v>
      </c>
      <c r="O17" s="165" t="n">
        <v>0.0003915509259259259</v>
      </c>
      <c r="P17" s="164" t="n">
        <v>0.000488425925925926</v>
      </c>
      <c r="Q17" s="165" t="n">
        <v>0.000537037037037037</v>
      </c>
      <c r="R17" s="164" t="n">
        <v>0.0004421296296296297</v>
      </c>
      <c r="S17" s="165" t="n">
        <v>0.0004722222222222222</v>
      </c>
      <c r="T17" s="164" t="n">
        <v>0.0004097222222222222</v>
      </c>
      <c r="U17" s="165" t="n">
        <v>0.0004409722222222223</v>
      </c>
      <c r="V17" s="164" t="n">
        <v>0.0003888888888888889</v>
      </c>
      <c r="W17" s="165" t="n">
        <v>0.0004270833333333333</v>
      </c>
      <c r="X17" s="164" t="n">
        <v>0.0003784722222222223</v>
      </c>
      <c r="Y17" s="165" t="n">
        <v>0.0004189814814814815</v>
      </c>
      <c r="Z17" s="164" t="n">
        <v>0.000375</v>
      </c>
      <c r="AA17" s="165" t="n">
        <v>0.0004143518518518518</v>
      </c>
      <c r="AB17" s="164" t="n">
        <v>0.0003518518518518518</v>
      </c>
      <c r="AC17" s="165" t="n">
        <v>0.0003842592592592593</v>
      </c>
      <c r="AD17" s="164" t="n">
        <v>0.0004913194444444445</v>
      </c>
      <c r="AE17" s="165" t="n">
        <v>0.00055625</v>
      </c>
      <c r="AF17" s="164" t="n">
        <v>0.0004465277777777777</v>
      </c>
      <c r="AG17" s="165" t="n">
        <v>0.0004783564814814815</v>
      </c>
      <c r="AH17" s="164" t="n">
        <v>0.0004083333333333334</v>
      </c>
      <c r="AI17" s="165" t="n">
        <v>0.0004497685185185185</v>
      </c>
      <c r="AJ17" s="164" t="n">
        <v>0.0004023148148148148</v>
      </c>
      <c r="AK17" s="165" t="n">
        <v>0.0004311342592592593</v>
      </c>
      <c r="AL17" s="164" t="n">
        <v>0.0003663194444444445</v>
      </c>
      <c r="AM17" s="165" t="n">
        <v>0.0004086805555555556</v>
      </c>
      <c r="AN17" s="164" t="n">
        <v>0.0003508101851851852</v>
      </c>
      <c r="AO17" s="165" t="n">
        <v>0.0003902777777777777</v>
      </c>
      <c r="AP17" s="164" t="n">
        <v>0.0003362268518518519</v>
      </c>
      <c r="AQ17" s="165" t="n">
        <v>0.000369212962962963</v>
      </c>
      <c r="AR17" s="164" t="n">
        <v>0.0004861111111111111</v>
      </c>
      <c r="AS17" s="165" t="n">
        <v>0.000550925925925926</v>
      </c>
      <c r="AT17" s="164" t="n">
        <v>0.0004409722222222223</v>
      </c>
      <c r="AU17" s="165" t="n">
        <v>0.0004722222222222222</v>
      </c>
      <c r="AV17" s="164" t="n">
        <v>0.0004016203703703704</v>
      </c>
      <c r="AW17" s="165" t="n">
        <v>0.000443287037037037</v>
      </c>
      <c r="AX17" s="164" t="n">
        <v>0.0003958333333333334</v>
      </c>
      <c r="AY17" s="165" t="n">
        <v>0.0004247685185185186</v>
      </c>
      <c r="AZ17" s="164" t="n">
        <v>0.0003587962962962963</v>
      </c>
      <c r="BA17" s="165" t="n">
        <v>0.0004016203703703704</v>
      </c>
      <c r="BB17" s="164" t="n">
        <v>0.0003425925925925926</v>
      </c>
      <c r="BC17" s="165" t="n">
        <v>0.0003831018518518519</v>
      </c>
      <c r="BD17" s="164" t="n">
        <v>0.0003287037037037037</v>
      </c>
      <c r="BE17" s="165" t="n">
        <v>0.0003622685185185185</v>
      </c>
    </row>
    <row r="18">
      <c r="A18" s="163" t="inlineStr">
        <is>
          <t>100 Back</t>
        </is>
      </c>
      <c r="B18" s="164" t="n">
        <v>0.001043981481481481</v>
      </c>
      <c r="C18" s="165" t="n">
        <v>0.001189814814814815</v>
      </c>
      <c r="D18" s="164" t="n">
        <v>0.000982638888888889</v>
      </c>
      <c r="E18" s="165" t="n">
        <v>0.001040509259259259</v>
      </c>
      <c r="F18" s="164" t="n">
        <v>0.0008946759259259259</v>
      </c>
      <c r="G18" s="165" t="n">
        <v>0.0009560185185185185</v>
      </c>
      <c r="H18" s="164" t="n">
        <v>0.0008634259259259259</v>
      </c>
      <c r="I18" s="165" t="n">
        <v>0.0009270833333333333</v>
      </c>
      <c r="J18" s="164" t="n">
        <v>0.000832175925925926</v>
      </c>
      <c r="K18" s="165" t="n">
        <v>0.000912037037037037</v>
      </c>
      <c r="L18" s="164" t="n">
        <v>0.0008298611111111112</v>
      </c>
      <c r="M18" s="165" t="n">
        <v>0.0009027777777777777</v>
      </c>
      <c r="N18" s="164" t="n">
        <v>0.0007743055555555556</v>
      </c>
      <c r="O18" s="165" t="n">
        <v>0.000826388888888889</v>
      </c>
      <c r="P18" s="164" t="n">
        <v>0.001033564814814815</v>
      </c>
      <c r="Q18" s="165" t="n">
        <v>0.001180555555555556</v>
      </c>
      <c r="R18" s="164" t="n">
        <v>0.0009710648148148149</v>
      </c>
      <c r="S18" s="165" t="n">
        <v>0.001030092592592593</v>
      </c>
      <c r="T18" s="164" t="n">
        <v>0.0008831018518518518</v>
      </c>
      <c r="U18" s="165" t="n">
        <v>0.0009328703703703703</v>
      </c>
      <c r="V18" s="164" t="n">
        <v>0.0008506944444444444</v>
      </c>
      <c r="W18" s="165" t="n">
        <v>0.0009155092592592591</v>
      </c>
      <c r="X18" s="164" t="n">
        <v>0.0008194444444444444</v>
      </c>
      <c r="Y18" s="165" t="n">
        <v>0.0009004629629629629</v>
      </c>
      <c r="Z18" s="164" t="n">
        <v>0.0008171296296296296</v>
      </c>
      <c r="AA18" s="165" t="n">
        <v>0.0008912037037037037</v>
      </c>
      <c r="AB18" s="164" t="n">
        <v>0.0007604166666666667</v>
      </c>
      <c r="AC18" s="165" t="n">
        <v>0.0008136574074074074</v>
      </c>
      <c r="AD18" s="164" t="n">
        <v>0.001072916666666667</v>
      </c>
      <c r="AE18" s="165" t="n">
        <v>0.001239583333333333</v>
      </c>
      <c r="AF18" s="164" t="n">
        <v>0.0009710648148148149</v>
      </c>
      <c r="AG18" s="165" t="n">
        <v>0.001032407407407407</v>
      </c>
      <c r="AH18" s="164" t="n">
        <v>0.0008900462962962963</v>
      </c>
      <c r="AI18" s="165" t="n">
        <v>0.0009756944444444444</v>
      </c>
      <c r="AJ18" s="164" t="n">
        <v>0.0008634259259259259</v>
      </c>
      <c r="AK18" s="165" t="n">
        <v>0.0009328703703703703</v>
      </c>
      <c r="AL18" s="164" t="n">
        <v>0.0007881944444444443</v>
      </c>
      <c r="AM18" s="165" t="n">
        <v>0.0008796296296296296</v>
      </c>
      <c r="AN18" s="164" t="n">
        <v>0.0007326388888888889</v>
      </c>
      <c r="AO18" s="165" t="n">
        <v>0.0008368055555555555</v>
      </c>
      <c r="AP18" s="164" t="n">
        <v>0.0007164351851851852</v>
      </c>
      <c r="AQ18" s="165" t="n">
        <v>0.000795138888888889</v>
      </c>
      <c r="AR18" s="164" t="n">
        <v>0.0010625</v>
      </c>
      <c r="AS18" s="165" t="n">
        <v>0.001230324074074074</v>
      </c>
      <c r="AT18" s="164" t="n">
        <v>0.0009594907407407408</v>
      </c>
      <c r="AU18" s="165" t="n">
        <v>0.001021990740740741</v>
      </c>
      <c r="AV18" s="164" t="n">
        <v>0.0008773148148148148</v>
      </c>
      <c r="AW18" s="165" t="n">
        <v>0.0009641203703703704</v>
      </c>
      <c r="AX18" s="164" t="n">
        <v>0.0008506944444444444</v>
      </c>
      <c r="AY18" s="165" t="n">
        <v>0.0009212962962962963</v>
      </c>
      <c r="AZ18" s="164" t="n">
        <v>0.0007743055555555556</v>
      </c>
      <c r="BA18" s="165" t="n">
        <v>0.0008668981481481482</v>
      </c>
      <c r="BB18" s="164" t="n">
        <v>0.0007175925925925926</v>
      </c>
      <c r="BC18" s="165" t="n">
        <v>0.0008240740740740741</v>
      </c>
      <c r="BD18" s="164" t="n">
        <v>0.0007013888888888889</v>
      </c>
      <c r="BE18" s="165" t="n">
        <v>0.00078125</v>
      </c>
    </row>
    <row r="19">
      <c r="A19" s="163" t="inlineStr">
        <is>
          <t>200 Back</t>
        </is>
      </c>
      <c r="B19" s="164" t="n">
        <v>0.002356481481481482</v>
      </c>
      <c r="C19" s="165" t="n">
        <v>0.002546296296296297</v>
      </c>
      <c r="D19" s="164" t="n">
        <v>0.002116898148148148</v>
      </c>
      <c r="E19" s="165" t="n">
        <v>0.00221875</v>
      </c>
      <c r="F19" s="164" t="n">
        <v>0.001880787037037037</v>
      </c>
      <c r="G19" s="165" t="n">
        <v>0.002024305555555556</v>
      </c>
      <c r="H19" s="164" t="n">
        <v>0.001733796296296296</v>
      </c>
      <c r="I19" s="165" t="n">
        <v>0.001944444444444444</v>
      </c>
      <c r="J19" s="164" t="n">
        <v>0.001834490740740741</v>
      </c>
      <c r="K19" s="165" t="n">
        <v>0.001936342592592593</v>
      </c>
      <c r="L19" s="164" t="n">
        <v>0.001818287037037037</v>
      </c>
      <c r="M19" s="165" t="n">
        <v>0.001924768518518519</v>
      </c>
      <c r="N19" s="164" t="n">
        <v>0.00171412037037037</v>
      </c>
      <c r="O19" s="165" t="n">
        <v>0.001765046296296296</v>
      </c>
      <c r="P19" s="164" t="n">
        <v>0.002337962962962963</v>
      </c>
      <c r="Q19" s="165" t="n">
        <v>0.002528935185185185</v>
      </c>
      <c r="R19" s="164" t="n">
        <v>0.002096064814814815</v>
      </c>
      <c r="S19" s="165" t="n">
        <v>0.002197916666666667</v>
      </c>
      <c r="T19" s="164" t="n">
        <v>0.001856481481481482</v>
      </c>
      <c r="U19" s="165" t="n">
        <v>0.002002314814814815</v>
      </c>
      <c r="V19" s="164" t="n">
        <v>0.001708333333333333</v>
      </c>
      <c r="W19" s="165" t="n">
        <v>0.001921296296296296</v>
      </c>
      <c r="X19" s="164" t="n">
        <v>0.001810185185185185</v>
      </c>
      <c r="Y19" s="165" t="n">
        <v>0.001913194444444445</v>
      </c>
      <c r="Z19" s="164" t="n">
        <v>0.001793981481481481</v>
      </c>
      <c r="AA19" s="165" t="n">
        <v>0.001901620370370371</v>
      </c>
      <c r="AB19" s="164" t="n">
        <v>0.0016875</v>
      </c>
      <c r="AC19" s="165" t="n">
        <v>0.001739583333333333</v>
      </c>
      <c r="AD19" s="164" t="n">
        <v>0.002315972222222222</v>
      </c>
      <c r="AE19" s="165" t="n">
        <v>0.002555555555555556</v>
      </c>
      <c r="AF19" s="164" t="n">
        <v>0.002061342592592592</v>
      </c>
      <c r="AG19" s="165" t="n">
        <v>0.002178240740740741</v>
      </c>
      <c r="AH19" s="164" t="n">
        <v>0.001925925925925926</v>
      </c>
      <c r="AI19" s="165" t="n">
        <v>0.002085648148148148</v>
      </c>
      <c r="AJ19" s="164" t="n">
        <v>0.001862268518518519</v>
      </c>
      <c r="AK19" s="165" t="n">
        <v>0.002024305555555556</v>
      </c>
      <c r="AL19" s="164" t="n">
        <v>0.001740740740740741</v>
      </c>
      <c r="AM19" s="165" t="n">
        <v>0.001909722222222222</v>
      </c>
      <c r="AN19" s="164" t="n">
        <v>0.001635416666666667</v>
      </c>
      <c r="AO19" s="165" t="n">
        <v>0.001791666666666667</v>
      </c>
      <c r="AP19" s="164" t="n">
        <v>0.001621527777777778</v>
      </c>
      <c r="AQ19" s="165" t="n">
        <v>0.001778935185185185</v>
      </c>
      <c r="AR19" s="164" t="n">
        <v>0.002296296296296296</v>
      </c>
      <c r="AS19" s="165" t="n">
        <v>0.002538194444444444</v>
      </c>
      <c r="AT19" s="164" t="n">
        <v>0.002039351851851852</v>
      </c>
      <c r="AU19" s="165" t="n">
        <v>0.002157407407407407</v>
      </c>
      <c r="AV19" s="164" t="n">
        <v>0.001902777777777778</v>
      </c>
      <c r="AW19" s="165" t="n">
        <v>0.002063657407407408</v>
      </c>
      <c r="AX19" s="164" t="n">
        <v>0.001837962962962963</v>
      </c>
      <c r="AY19" s="165" t="n">
        <v>0.002002314814814815</v>
      </c>
      <c r="AZ19" s="164" t="n">
        <v>0.001715277777777778</v>
      </c>
      <c r="BA19" s="165" t="n">
        <v>0.001886574074074074</v>
      </c>
      <c r="BB19" s="164" t="n">
        <v>0.001607638888888889</v>
      </c>
      <c r="BC19" s="165" t="n">
        <v>0.001766203703703704</v>
      </c>
      <c r="BD19" s="164" t="n">
        <v>0.00159375</v>
      </c>
      <c r="BE19" s="165" t="n">
        <v>0.001753472222222222</v>
      </c>
    </row>
    <row r="20">
      <c r="A20" s="163" t="inlineStr">
        <is>
          <t>200 IM</t>
        </is>
      </c>
      <c r="B20" s="164" t="n">
        <v>0.002260416666666667</v>
      </c>
      <c r="C20" s="165" t="n">
        <v>0.003148148148148148</v>
      </c>
      <c r="D20" s="164" t="n">
        <v>0.002101851851851852</v>
      </c>
      <c r="E20" s="165" t="n">
        <v>0.002234953703703704</v>
      </c>
      <c r="F20" s="164" t="n">
        <v>0.001931712962962963</v>
      </c>
      <c r="G20" s="165" t="n">
        <v>0.00200462962962963</v>
      </c>
      <c r="H20" s="164" t="n">
        <v>0.001792824074074074</v>
      </c>
      <c r="I20" s="165" t="n">
        <v>0.001938657407407407</v>
      </c>
      <c r="J20" s="164" t="n">
        <v>0.001789351851851852</v>
      </c>
      <c r="K20" s="165" t="n">
        <v>0.001884259259259259</v>
      </c>
      <c r="L20" s="164" t="n">
        <v>0.001775462962962963</v>
      </c>
      <c r="M20" s="165" t="n">
        <v>0.001873842592592593</v>
      </c>
      <c r="N20" s="164" t="n">
        <v>0.001719907407407407</v>
      </c>
      <c r="O20" s="165" t="n">
        <v>0.001804398148148148</v>
      </c>
      <c r="P20" s="164" t="n">
        <v>0.002237268518518519</v>
      </c>
      <c r="Q20" s="165" t="n">
        <v>0.003130787037037037</v>
      </c>
      <c r="R20" s="164" t="n">
        <v>0.002076388888888889</v>
      </c>
      <c r="S20" s="165" t="n">
        <v>0.002210648148148148</v>
      </c>
      <c r="T20" s="164" t="n">
        <v>0.001903935185185185</v>
      </c>
      <c r="U20" s="165" t="n">
        <v>0.001978009259259259</v>
      </c>
      <c r="V20" s="164" t="n">
        <v>0.001762731481481482</v>
      </c>
      <c r="W20" s="165" t="n">
        <v>0.00191087962962963</v>
      </c>
      <c r="X20" s="164" t="n">
        <v>0.001759259259259259</v>
      </c>
      <c r="Y20" s="165" t="n">
        <v>0.001856481481481482</v>
      </c>
      <c r="Z20" s="164" t="n">
        <v>0.00174537037037037</v>
      </c>
      <c r="AA20" s="165" t="n">
        <v>0.001844907407407408</v>
      </c>
      <c r="AB20" s="164" t="n">
        <v>0.00203587962962963</v>
      </c>
      <c r="AC20" s="165" t="n">
        <v>0.001774305555555556</v>
      </c>
      <c r="AD20" s="164" t="n">
        <v>0.002388888888888889</v>
      </c>
      <c r="AE20" s="165" t="n">
        <v>0.0024375</v>
      </c>
      <c r="AF20" s="164" t="n">
        <v>0.002108796296296296</v>
      </c>
      <c r="AG20" s="165" t="n">
        <v>0.002226851851851852</v>
      </c>
      <c r="AH20" s="164" t="n">
        <v>0.001935185185185185</v>
      </c>
      <c r="AI20" s="165" t="n">
        <v>0.002037037037037037</v>
      </c>
      <c r="AJ20" s="164" t="n">
        <v>0.001815972222222222</v>
      </c>
      <c r="AK20" s="165" t="n">
        <v>0.001972222222222222</v>
      </c>
      <c r="AL20" s="164" t="n">
        <v>0.00178125</v>
      </c>
      <c r="AM20" s="165" t="n">
        <v>0.001858796296296296</v>
      </c>
      <c r="AN20" s="164" t="n">
        <v>0.001633101851851852</v>
      </c>
      <c r="AO20" s="165" t="n">
        <v>0.001715277777777778</v>
      </c>
      <c r="AP20" s="164" t="n">
        <v>0.001630787037037037</v>
      </c>
      <c r="AQ20" s="165" t="n">
        <v>0.001711805555555556</v>
      </c>
      <c r="AR20" s="164" t="n">
        <v>0.002366898148148148</v>
      </c>
      <c r="AS20" s="165" t="n">
        <v>0.002415509259259259</v>
      </c>
      <c r="AT20" s="164" t="n">
        <v>0.002083333333333333</v>
      </c>
      <c r="AU20" s="165" t="n">
        <v>0.002202546296296297</v>
      </c>
      <c r="AV20" s="164" t="n">
        <v>0.001907407407407408</v>
      </c>
      <c r="AW20" s="165" t="n">
        <v>0.002010416666666666</v>
      </c>
      <c r="AX20" s="164" t="n">
        <v>0.001787037037037037</v>
      </c>
      <c r="AY20" s="165" t="n">
        <v>0.001945601851851852</v>
      </c>
      <c r="AZ20" s="164" t="n">
        <v>0.001751157407407407</v>
      </c>
      <c r="BA20" s="165" t="n">
        <v>0.001829861111111111</v>
      </c>
      <c r="BB20" s="164" t="n">
        <v>0.001600694444444445</v>
      </c>
      <c r="BC20" s="165" t="n">
        <v>0.001684027777777778</v>
      </c>
      <c r="BD20" s="164" t="n">
        <v>0.001598379629629629</v>
      </c>
      <c r="BE20" s="165" t="n">
        <v>0.001680555555555555</v>
      </c>
    </row>
    <row r="21">
      <c r="A21" s="163" t="inlineStr">
        <is>
          <t>400 IM</t>
        </is>
      </c>
      <c r="B21" s="148" t="n"/>
      <c r="C21" s="148" t="n"/>
      <c r="D21" s="164" t="n">
        <v>0.005043981481481482</v>
      </c>
      <c r="E21" s="165" t="n">
        <v>0.005266203703703703</v>
      </c>
      <c r="F21" s="164" t="n">
        <v>0.004107638888888889</v>
      </c>
      <c r="G21" s="165" t="n">
        <v>0.00421875</v>
      </c>
      <c r="H21" s="164" t="n">
        <v>0.003895833333333334</v>
      </c>
      <c r="I21" s="165" t="n">
        <v>0.004018518518518518</v>
      </c>
      <c r="J21" s="164" t="n">
        <v>0.003821759259259259</v>
      </c>
      <c r="K21" s="165" t="n">
        <v>0.003876157407407407</v>
      </c>
      <c r="L21" s="164" t="n">
        <v>0.003820601851851852</v>
      </c>
      <c r="M21" s="165" t="n">
        <v>0.003829861111111111</v>
      </c>
      <c r="N21" s="164" t="n">
        <v>0.003611111111111111</v>
      </c>
      <c r="O21" s="165" t="n">
        <v>0.003745370370370371</v>
      </c>
      <c r="P21" s="148" t="n"/>
      <c r="Q21" s="148" t="n"/>
      <c r="R21" s="164" t="n">
        <v>0.004996527777777778</v>
      </c>
      <c r="S21" s="165" t="n">
        <v>0.005221064814814815</v>
      </c>
      <c r="T21" s="164" t="n">
        <v>0.004049768518518519</v>
      </c>
      <c r="U21" s="165" t="n">
        <v>0.004162037037037037</v>
      </c>
      <c r="V21" s="164" t="n">
        <v>0.003834490740740741</v>
      </c>
      <c r="W21" s="165" t="n">
        <v>0.003959490740740741</v>
      </c>
      <c r="X21" s="164" t="n">
        <v>0.003759259259259259</v>
      </c>
      <c r="Y21" s="165" t="n">
        <v>0.003814814814814815</v>
      </c>
      <c r="Z21" s="164" t="n">
        <v>0.003758101851851852</v>
      </c>
      <c r="AA21" s="165" t="n">
        <v>0.003767361111111111</v>
      </c>
      <c r="AB21" s="164" t="n">
        <v>0.003545138888888889</v>
      </c>
      <c r="AC21" s="165" t="n">
        <v>0.003681712962962963</v>
      </c>
      <c r="AD21" s="148" t="n"/>
      <c r="AE21" s="148" t="n"/>
      <c r="AF21" s="164" t="n">
        <v>0.004799768518518518</v>
      </c>
      <c r="AG21" s="165" t="n">
        <v>0.005094907407407407</v>
      </c>
      <c r="AH21" s="164" t="n">
        <v>0.004151620370370371</v>
      </c>
      <c r="AI21" s="165" t="n">
        <v>0.004234953703703703</v>
      </c>
      <c r="AJ21" s="164" t="n">
        <v>0.004016203703703704</v>
      </c>
      <c r="AK21" s="165" t="n">
        <v>0.004152777777777778</v>
      </c>
      <c r="AL21" s="164" t="n">
        <v>0.003834490740740741</v>
      </c>
      <c r="AM21" s="165" t="n">
        <v>0.003978009259259259</v>
      </c>
      <c r="AN21" s="164" t="n">
        <v>0.003564814814814815</v>
      </c>
      <c r="AO21" s="165" t="n">
        <v>0.003589120370370371</v>
      </c>
      <c r="AP21" s="164" t="n">
        <v>0.003517361111111111</v>
      </c>
      <c r="AQ21" s="165" t="n">
        <v>0.003539351851851852</v>
      </c>
      <c r="AR21" s="148" t="n"/>
      <c r="AS21" s="148" t="n"/>
      <c r="AT21" s="164" t="n">
        <v>0.00475</v>
      </c>
      <c r="AU21" s="165" t="n">
        <v>0.005048611111111111</v>
      </c>
      <c r="AV21" s="164" t="n">
        <v>0.004094907407407407</v>
      </c>
      <c r="AW21" s="165" t="n">
        <v>0.004179398148148148</v>
      </c>
      <c r="AX21" s="164" t="n">
        <v>0.003957175925925926</v>
      </c>
      <c r="AY21" s="165" t="n">
        <v>0.004096064814814815</v>
      </c>
      <c r="AZ21" s="164" t="n">
        <v>0.003773148148148148</v>
      </c>
      <c r="BA21" s="165" t="n">
        <v>0.004149305555555555</v>
      </c>
      <c r="BB21" s="164" t="n">
        <v>0.003497685185185185</v>
      </c>
      <c r="BC21" s="165" t="n">
        <v>0.003523148148148148</v>
      </c>
      <c r="BD21" s="164" t="n">
        <v>0.003450231481481482</v>
      </c>
      <c r="BE21" s="165" t="n">
        <v>0.003472222222222222</v>
      </c>
    </row>
  </sheetData>
  <mergeCells count="33">
    <mergeCell ref="AD3:AE3"/>
    <mergeCell ref="AF3:AG3"/>
    <mergeCell ref="AH3:AI3"/>
    <mergeCell ref="AN3:AO3"/>
    <mergeCell ref="AP3:AQ3"/>
    <mergeCell ref="B3:C3"/>
    <mergeCell ref="BB3:BC3"/>
    <mergeCell ref="A1:BE1"/>
    <mergeCell ref="F3:G3"/>
    <mergeCell ref="L3:M3"/>
    <mergeCell ref="AT3:AU3"/>
    <mergeCell ref="BD3:BE3"/>
    <mergeCell ref="N3:O3"/>
    <mergeCell ref="AV3:AW3"/>
    <mergeCell ref="B2:O2"/>
    <mergeCell ref="P2:AC2"/>
    <mergeCell ref="X3:Y3"/>
    <mergeCell ref="Z3:AA3"/>
    <mergeCell ref="AJ3:AK3"/>
    <mergeCell ref="AL3:AM3"/>
    <mergeCell ref="R3:S3"/>
    <mergeCell ref="AD2:AQ2"/>
    <mergeCell ref="D3:E3"/>
    <mergeCell ref="H3:I3"/>
    <mergeCell ref="J3:K3"/>
    <mergeCell ref="AX3:AY3"/>
    <mergeCell ref="P3:Q3"/>
    <mergeCell ref="AZ3:BA3"/>
    <mergeCell ref="AR2:BE2"/>
    <mergeCell ref="AR3:AS3"/>
    <mergeCell ref="T3:U3"/>
    <mergeCell ref="V3:W3"/>
    <mergeCell ref="AB3:AC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21"/>
  <sheetViews>
    <sheetView workbookViewId="0">
      <selection activeCell="A1" sqref="A1"/>
    </sheetView>
  </sheetViews>
  <sheetFormatPr baseColWidth="8" defaultRowHeight="15"/>
  <cols>
    <col width="14" customWidth="1" style="224" min="1" max="1"/>
    <col width="9" customWidth="1" style="224" min="2" max="2"/>
    <col width="9" customWidth="1" style="224" min="3" max="3"/>
    <col width="9" customWidth="1" style="224" min="4" max="4"/>
    <col width="9" customWidth="1" style="224" min="5" max="5"/>
    <col width="9" customWidth="1" style="224" min="6" max="6"/>
    <col width="9" customWidth="1" style="224" min="7" max="7"/>
    <col width="9" customWidth="1" style="224" min="8" max="8"/>
    <col width="9" customWidth="1" style="224" min="9" max="9"/>
    <col width="9" customWidth="1" style="224" min="10" max="10"/>
    <col width="9" customWidth="1" style="224" min="11" max="11"/>
    <col width="9" customWidth="1" style="224" min="12" max="12"/>
    <col width="9" customWidth="1" style="224" min="13" max="13"/>
    <col width="9" customWidth="1" style="224" min="14" max="14"/>
    <col width="9" customWidth="1" style="224" min="15" max="15"/>
    <col width="9" customWidth="1" style="224" min="16" max="16"/>
    <col width="9" customWidth="1" style="224" min="17" max="17"/>
    <col width="9" customWidth="1" style="224" min="18" max="18"/>
    <col width="9" customWidth="1" style="224" min="19" max="19"/>
    <col width="9" customWidth="1" style="224" min="20" max="20"/>
    <col width="9" customWidth="1" style="224" min="21" max="21"/>
    <col width="9" customWidth="1" style="224" min="22" max="22"/>
    <col width="9" customWidth="1" style="224" min="23" max="23"/>
    <col width="9" customWidth="1" style="224" min="24" max="24"/>
    <col width="9" customWidth="1" style="224" min="25" max="25"/>
    <col width="9" customWidth="1" style="224" min="26" max="26"/>
    <col width="9" customWidth="1" style="224" min="27" max="27"/>
    <col width="9" customWidth="1" style="224" min="28" max="28"/>
    <col width="9" customWidth="1" style="224" min="29" max="29"/>
    <col width="9" customWidth="1" style="224" min="30" max="30"/>
    <col width="9" customWidth="1" style="224" min="31" max="31"/>
    <col width="9" customWidth="1" style="224" min="32" max="32"/>
    <col width="9" customWidth="1" style="224" min="33" max="33"/>
    <col width="9" customWidth="1" style="224" min="34" max="34"/>
    <col width="9" customWidth="1" style="224" min="35" max="35"/>
    <col width="9" customWidth="1" style="224" min="36" max="36"/>
    <col width="9" customWidth="1" style="224" min="37" max="37"/>
    <col width="9" customWidth="1" style="224" min="38" max="38"/>
    <col width="9" customWidth="1" style="224" min="39" max="39"/>
    <col width="9" customWidth="1" style="224" min="40" max="40"/>
    <col width="9" customWidth="1" style="224" min="41" max="41"/>
    <col width="9" customWidth="1" style="224" min="42" max="42"/>
    <col width="9" customWidth="1" style="224" min="43" max="43"/>
    <col width="9" customWidth="1" style="224" min="44" max="44"/>
    <col width="9" customWidth="1" style="224" min="45" max="45"/>
    <col width="9" customWidth="1" style="224" min="46" max="46"/>
    <col width="9" customWidth="1" style="224" min="47" max="47"/>
    <col width="9" customWidth="1" style="224" min="48" max="48"/>
    <col width="9" customWidth="1" style="224" min="49" max="49"/>
    <col width="9" customWidth="1" style="224" min="50" max="50"/>
    <col width="9" customWidth="1" style="224" min="51" max="51"/>
    <col width="9" customWidth="1" style="224" min="52" max="52"/>
    <col width="9" customWidth="1" style="224" min="53" max="53"/>
    <col width="9" customWidth="1" style="224" min="54" max="54"/>
    <col width="9" customWidth="1" style="224" min="55" max="55"/>
    <col width="9" customWidth="1" style="224" min="56" max="56"/>
    <col width="9" customWidth="1" style="224" min="57" max="57"/>
    <col width="9" customWidth="1" style="224" min="58" max="58"/>
  </cols>
  <sheetData>
    <row r="1">
      <c r="A1" s="299" t="inlineStr">
        <is>
          <t>SE London Summer Championships 2026 — Regional Qualifying Times — Female</t>
        </is>
      </c>
    </row>
    <row r="2">
      <c r="A2" s="299" t="inlineStr">
        <is>
          <t>Event</t>
        </is>
      </c>
      <c r="B2" s="300" t="inlineStr">
        <is>
          <t>Girls — Long Course</t>
        </is>
      </c>
      <c r="P2" s="301" t="inlineStr">
        <is>
          <t>Girls — Short Course</t>
        </is>
      </c>
      <c r="AD2" s="300" t="inlineStr">
        <is>
          <t>Boys — Long Course</t>
        </is>
      </c>
      <c r="AR2" s="301" t="inlineStr">
        <is>
          <t>Boys — Short Course</t>
        </is>
      </c>
    </row>
    <row r="3">
      <c r="B3" s="300" t="inlineStr">
        <is>
          <t>11-12</t>
        </is>
      </c>
      <c r="D3" s="300" t="inlineStr">
        <is>
          <t>13</t>
        </is>
      </c>
      <c r="F3" s="300" t="inlineStr">
        <is>
          <t>14</t>
        </is>
      </c>
      <c r="H3" s="300" t="inlineStr">
        <is>
          <t>15</t>
        </is>
      </c>
      <c r="J3" s="300" t="inlineStr">
        <is>
          <t>16</t>
        </is>
      </c>
      <c r="L3" s="300" t="inlineStr">
        <is>
          <t>17</t>
        </is>
      </c>
      <c r="N3" s="300" t="inlineStr">
        <is>
          <t>18+</t>
        </is>
      </c>
      <c r="P3" s="301" t="inlineStr">
        <is>
          <t>11-12</t>
        </is>
      </c>
      <c r="R3" s="301" t="inlineStr">
        <is>
          <t>13</t>
        </is>
      </c>
      <c r="T3" s="301" t="inlineStr">
        <is>
          <t>14</t>
        </is>
      </c>
      <c r="V3" s="301" t="inlineStr">
        <is>
          <t>15</t>
        </is>
      </c>
      <c r="X3" s="301" t="inlineStr">
        <is>
          <t>16</t>
        </is>
      </c>
      <c r="Z3" s="301" t="inlineStr">
        <is>
          <t>17</t>
        </is>
      </c>
      <c r="AB3" s="301" t="inlineStr">
        <is>
          <t>18+</t>
        </is>
      </c>
      <c r="AD3" s="300" t="inlineStr">
        <is>
          <t>11-12</t>
        </is>
      </c>
      <c r="AF3" s="300" t="inlineStr">
        <is>
          <t>13</t>
        </is>
      </c>
      <c r="AH3" s="300" t="inlineStr">
        <is>
          <t>14</t>
        </is>
      </c>
      <c r="AJ3" s="300" t="inlineStr">
        <is>
          <t>15</t>
        </is>
      </c>
      <c r="AL3" s="300" t="inlineStr">
        <is>
          <t>16</t>
        </is>
      </c>
      <c r="AN3" s="300" t="inlineStr">
        <is>
          <t>17</t>
        </is>
      </c>
      <c r="AP3" s="300" t="inlineStr">
        <is>
          <t>18+</t>
        </is>
      </c>
      <c r="AR3" s="301" t="inlineStr">
        <is>
          <t>11-12</t>
        </is>
      </c>
      <c r="AT3" s="301" t="inlineStr">
        <is>
          <t>13</t>
        </is>
      </c>
      <c r="AV3" s="301" t="inlineStr">
        <is>
          <t>14</t>
        </is>
      </c>
      <c r="AX3" s="301" t="inlineStr">
        <is>
          <t>15</t>
        </is>
      </c>
      <c r="AZ3" s="301" t="inlineStr">
        <is>
          <t>16</t>
        </is>
      </c>
      <c r="BB3" s="301" t="inlineStr">
        <is>
          <t>17</t>
        </is>
      </c>
      <c r="BD3" s="301" t="inlineStr">
        <is>
          <t>18+</t>
        </is>
      </c>
    </row>
    <row r="4">
      <c r="B4" s="300" t="inlineStr">
        <is>
          <t>QT</t>
        </is>
      </c>
      <c r="C4" s="300" t="inlineStr">
        <is>
          <t>Con</t>
        </is>
      </c>
      <c r="D4" s="300" t="inlineStr">
        <is>
          <t>QT</t>
        </is>
      </c>
      <c r="E4" s="300" t="inlineStr">
        <is>
          <t>Con</t>
        </is>
      </c>
      <c r="F4" s="300" t="inlineStr">
        <is>
          <t>QT</t>
        </is>
      </c>
      <c r="G4" s="300" t="inlineStr">
        <is>
          <t>Con</t>
        </is>
      </c>
      <c r="H4" s="300" t="inlineStr">
        <is>
          <t>QT</t>
        </is>
      </c>
      <c r="I4" s="300" t="inlineStr">
        <is>
          <t>Con</t>
        </is>
      </c>
      <c r="J4" s="300" t="inlineStr">
        <is>
          <t>QT</t>
        </is>
      </c>
      <c r="K4" s="300" t="inlineStr">
        <is>
          <t>Con</t>
        </is>
      </c>
      <c r="L4" s="300" t="inlineStr">
        <is>
          <t>QT</t>
        </is>
      </c>
      <c r="M4" s="300" t="inlineStr">
        <is>
          <t>Con</t>
        </is>
      </c>
      <c r="N4" s="300" t="inlineStr">
        <is>
          <t>QT</t>
        </is>
      </c>
      <c r="O4" s="300" t="inlineStr">
        <is>
          <t>Con</t>
        </is>
      </c>
      <c r="P4" s="301" t="inlineStr">
        <is>
          <t>QT</t>
        </is>
      </c>
      <c r="Q4" s="301" t="inlineStr">
        <is>
          <t>Con</t>
        </is>
      </c>
      <c r="R4" s="301" t="inlineStr">
        <is>
          <t>QT</t>
        </is>
      </c>
      <c r="S4" s="301" t="inlineStr">
        <is>
          <t>Con</t>
        </is>
      </c>
      <c r="T4" s="301" t="inlineStr">
        <is>
          <t>QT</t>
        </is>
      </c>
      <c r="U4" s="301" t="inlineStr">
        <is>
          <t>Con</t>
        </is>
      </c>
      <c r="V4" s="301" t="inlineStr">
        <is>
          <t>QT</t>
        </is>
      </c>
      <c r="W4" s="301" t="inlineStr">
        <is>
          <t>Con</t>
        </is>
      </c>
      <c r="X4" s="301" t="inlineStr">
        <is>
          <t>QT</t>
        </is>
      </c>
      <c r="Y4" s="301" t="inlineStr">
        <is>
          <t>Con</t>
        </is>
      </c>
      <c r="Z4" s="301" t="inlineStr">
        <is>
          <t>QT</t>
        </is>
      </c>
      <c r="AA4" s="301" t="inlineStr">
        <is>
          <t>Con</t>
        </is>
      </c>
      <c r="AB4" s="301" t="inlineStr">
        <is>
          <t>QT</t>
        </is>
      </c>
      <c r="AC4" s="301" t="inlineStr">
        <is>
          <t>Con</t>
        </is>
      </c>
      <c r="AD4" s="300" t="inlineStr">
        <is>
          <t>QT</t>
        </is>
      </c>
      <c r="AE4" s="300" t="inlineStr">
        <is>
          <t>Con</t>
        </is>
      </c>
      <c r="AF4" s="300" t="inlineStr">
        <is>
          <t>QT</t>
        </is>
      </c>
      <c r="AG4" s="300" t="inlineStr">
        <is>
          <t>Con</t>
        </is>
      </c>
      <c r="AH4" s="300" t="inlineStr">
        <is>
          <t>QT</t>
        </is>
      </c>
      <c r="AI4" s="300" t="inlineStr">
        <is>
          <t>Con</t>
        </is>
      </c>
      <c r="AJ4" s="300" t="inlineStr">
        <is>
          <t>QT</t>
        </is>
      </c>
      <c r="AK4" s="300" t="inlineStr">
        <is>
          <t>Con</t>
        </is>
      </c>
      <c r="AL4" s="300" t="inlineStr">
        <is>
          <t>QT</t>
        </is>
      </c>
      <c r="AM4" s="300" t="inlineStr">
        <is>
          <t>Con</t>
        </is>
      </c>
      <c r="AN4" s="300" t="inlineStr">
        <is>
          <t>QT</t>
        </is>
      </c>
      <c r="AO4" s="300" t="inlineStr">
        <is>
          <t>Con</t>
        </is>
      </c>
      <c r="AP4" s="300" t="inlineStr">
        <is>
          <t>QT</t>
        </is>
      </c>
      <c r="AQ4" s="300" t="inlineStr">
        <is>
          <t>Con</t>
        </is>
      </c>
      <c r="AR4" s="301" t="inlineStr">
        <is>
          <t>QT</t>
        </is>
      </c>
      <c r="AS4" s="301" t="inlineStr">
        <is>
          <t>Con</t>
        </is>
      </c>
      <c r="AT4" s="301" t="inlineStr">
        <is>
          <t>QT</t>
        </is>
      </c>
      <c r="AU4" s="301" t="inlineStr">
        <is>
          <t>Con</t>
        </is>
      </c>
      <c r="AV4" s="301" t="inlineStr">
        <is>
          <t>QT</t>
        </is>
      </c>
      <c r="AW4" s="301" t="inlineStr">
        <is>
          <t>Con</t>
        </is>
      </c>
      <c r="AX4" s="301" t="inlineStr">
        <is>
          <t>QT</t>
        </is>
      </c>
      <c r="AY4" s="301" t="inlineStr">
        <is>
          <t>Con</t>
        </is>
      </c>
      <c r="AZ4" s="301" t="inlineStr">
        <is>
          <t>QT</t>
        </is>
      </c>
      <c r="BA4" s="301" t="inlineStr">
        <is>
          <t>Con</t>
        </is>
      </c>
      <c r="BB4" s="301" t="inlineStr">
        <is>
          <t>QT</t>
        </is>
      </c>
      <c r="BC4" s="301" t="inlineStr">
        <is>
          <t>Con</t>
        </is>
      </c>
      <c r="BD4" s="301" t="inlineStr">
        <is>
          <t>QT</t>
        </is>
      </c>
      <c r="BE4" s="301" t="inlineStr">
        <is>
          <t>Con</t>
        </is>
      </c>
    </row>
    <row r="5">
      <c r="A5" s="299" t="inlineStr">
        <is>
          <t>50 Free</t>
        </is>
      </c>
      <c r="B5" s="303" t="n">
        <v>0.0003538194444444445</v>
      </c>
      <c r="C5" s="303" t="n">
        <v>0.0003715277777777778</v>
      </c>
      <c r="D5" s="303" t="n">
        <v>0.0003428240740740741</v>
      </c>
      <c r="E5" s="303" t="n">
        <v>0.0003599537037037037</v>
      </c>
      <c r="F5" s="303" t="n">
        <v>0.0003372685185185185</v>
      </c>
      <c r="G5" s="303" t="n">
        <v>0.0003541666666666667</v>
      </c>
      <c r="H5" s="303" t="n">
        <v>0.0003318287037037037</v>
      </c>
      <c r="I5" s="303" t="n">
        <v>0.0003483796296296296</v>
      </c>
      <c r="J5" s="303" t="n">
        <v>0.0003306712962962963</v>
      </c>
      <c r="K5" s="303" t="n">
        <v>0.0003472222222222222</v>
      </c>
      <c r="L5" s="303" t="n">
        <v>0.0003274305555555555</v>
      </c>
      <c r="M5" s="303" t="n">
        <v>0.00034375</v>
      </c>
      <c r="N5" s="303" t="n">
        <v>0.0003252314814814815</v>
      </c>
      <c r="O5" s="303" t="n">
        <v>0.0003414351851851852</v>
      </c>
      <c r="P5" s="303" t="n">
        <v>0.0003460648148148148</v>
      </c>
      <c r="Q5" s="303" t="n">
        <v>0.0003634259259259259</v>
      </c>
      <c r="R5" s="303" t="n">
        <v>0.0003344907407407407</v>
      </c>
      <c r="S5" s="303" t="n">
        <v>0.0003518518518518518</v>
      </c>
      <c r="T5" s="303" t="n">
        <v>0.0003287037037037037</v>
      </c>
      <c r="U5" s="303" t="n">
        <v>0.0003460648148148148</v>
      </c>
      <c r="V5" s="303" t="n">
        <v>0.0003229166666666667</v>
      </c>
      <c r="W5" s="303" t="n">
        <v>0.0003402777777777778</v>
      </c>
      <c r="X5" s="303" t="n">
        <v>0.0003217592592592593</v>
      </c>
      <c r="Y5" s="303" t="n">
        <v>0.0003391203703703704</v>
      </c>
      <c r="Z5" s="303" t="n">
        <v>0.0003182870370370371</v>
      </c>
      <c r="AA5" s="303" t="n">
        <v>0.0003356481481481481</v>
      </c>
      <c r="AB5" s="303" t="n">
        <v>0.0003159722222222222</v>
      </c>
      <c r="AC5" s="303" t="n">
        <v>0.0003333333333333333</v>
      </c>
      <c r="AD5" s="303" t="n">
        <v>0.0003538194444444445</v>
      </c>
      <c r="AE5" s="303" t="n">
        <v>0.0003715277777777778</v>
      </c>
      <c r="AF5" s="303" t="n">
        <v>0.0003384259259259259</v>
      </c>
      <c r="AG5" s="303" t="n">
        <v>0.0003553240740740741</v>
      </c>
      <c r="AH5" s="303" t="n">
        <v>0.0003163194444444444</v>
      </c>
      <c r="AI5" s="303" t="n">
        <v>0.0003321759259259259</v>
      </c>
      <c r="AJ5" s="303" t="n">
        <v>0.0003053240740740741</v>
      </c>
      <c r="AK5" s="303" t="n">
        <v>0.0003206018518518519</v>
      </c>
      <c r="AL5" s="303" t="n">
        <v>0.0003009259259259259</v>
      </c>
      <c r="AM5" s="303" t="n">
        <v>0.0003159722222222222</v>
      </c>
      <c r="AN5" s="303" t="n">
        <v>0.0002943287037037037</v>
      </c>
      <c r="AO5" s="303" t="n">
        <v>0.0003090277777777778</v>
      </c>
      <c r="AP5" s="303" t="n">
        <v>0.0002799768518518519</v>
      </c>
      <c r="AQ5" s="303" t="n">
        <v>0.0002939814814814815</v>
      </c>
      <c r="AR5" s="303" t="n">
        <v>0.0003460648148148148</v>
      </c>
      <c r="AS5" s="303" t="n">
        <v>0.0003634259259259259</v>
      </c>
      <c r="AT5" s="303" t="n">
        <v>0.0003298611111111111</v>
      </c>
      <c r="AU5" s="303" t="n">
        <v>0.0003472222222222222</v>
      </c>
      <c r="AV5" s="303" t="n">
        <v>0.0003078703703703704</v>
      </c>
      <c r="AW5" s="303" t="n">
        <v>0.0003240740740740741</v>
      </c>
      <c r="AX5" s="303" t="n">
        <v>0.0002962962962962963</v>
      </c>
      <c r="AY5" s="303" t="n">
        <v>0.0003113425925925926</v>
      </c>
      <c r="AZ5" s="303" t="n">
        <v>0.0002916666666666666</v>
      </c>
      <c r="BA5" s="303" t="n">
        <v>0.000306712962962963</v>
      </c>
      <c r="BB5" s="303" t="n">
        <v>0.0002847222222222222</v>
      </c>
      <c r="BC5" s="303" t="n">
        <v>0.0002997685185185185</v>
      </c>
      <c r="BD5" s="303" t="n">
        <v>0.0002696759259259259</v>
      </c>
      <c r="BE5" s="303" t="n">
        <v>0.0002847222222222222</v>
      </c>
    </row>
    <row r="6">
      <c r="A6" s="299" t="inlineStr">
        <is>
          <t>100 Free</t>
        </is>
      </c>
      <c r="B6" s="303" t="n">
        <v>0.0007826388888888889</v>
      </c>
      <c r="C6" s="303" t="n">
        <v>0.0008217592592592593</v>
      </c>
      <c r="D6" s="303" t="n">
        <v>0.0007385416666666666</v>
      </c>
      <c r="E6" s="303" t="n">
        <v>0.0007754629629629629</v>
      </c>
      <c r="F6" s="303" t="n">
        <v>0.0007275462962962963</v>
      </c>
      <c r="G6" s="303" t="n">
        <v>0.0007638888888888889</v>
      </c>
      <c r="H6" s="303" t="n">
        <v>0.0007164351851851852</v>
      </c>
      <c r="I6" s="303" t="n">
        <v>0.0007523148148148148</v>
      </c>
      <c r="J6" s="303" t="n">
        <v>0.0007054398148148149</v>
      </c>
      <c r="K6" s="303" t="n">
        <v>0.0007407407407407407</v>
      </c>
      <c r="L6" s="303" t="n">
        <v>0.0007010416666666667</v>
      </c>
      <c r="M6" s="303" t="n">
        <v>0.0007361111111111111</v>
      </c>
      <c r="N6" s="303" t="n">
        <v>0.0006966435185185185</v>
      </c>
      <c r="O6" s="303" t="n">
        <v>0.0007314814814814815</v>
      </c>
      <c r="P6" s="303" t="n">
        <v>0.0007685185185185185</v>
      </c>
      <c r="Q6" s="303" t="n">
        <v>0.0008078703703703704</v>
      </c>
      <c r="R6" s="303" t="n">
        <v>0.0007233796296296296</v>
      </c>
      <c r="S6" s="303" t="n">
        <v>0.0007604166666666667</v>
      </c>
      <c r="T6" s="303" t="n">
        <v>0.0007118055555555556</v>
      </c>
      <c r="U6" s="303" t="n">
        <v>0.0007488425925925926</v>
      </c>
      <c r="V6" s="303" t="n">
        <v>0.0007002314814814815</v>
      </c>
      <c r="W6" s="303" t="n">
        <v>0.0007372685185185185</v>
      </c>
      <c r="X6" s="303" t="n">
        <v>0.0006898148148148149</v>
      </c>
      <c r="Y6" s="303" t="n">
        <v>0.0007256944444444445</v>
      </c>
      <c r="Z6" s="303" t="n">
        <v>0.0006851851851851853</v>
      </c>
      <c r="AA6" s="303" t="n">
        <v>0.0007210648148148148</v>
      </c>
      <c r="AB6" s="303" t="n">
        <v>0.0006805555555555556</v>
      </c>
      <c r="AC6" s="303" t="n">
        <v>0.0007164351851851852</v>
      </c>
      <c r="AD6" s="303" t="n">
        <v>0.0007936342592592592</v>
      </c>
      <c r="AE6" s="303" t="n">
        <v>0.0008333333333333334</v>
      </c>
      <c r="AF6" s="303" t="n">
        <v>0.0007241898148148148</v>
      </c>
      <c r="AG6" s="303" t="n">
        <v>0.0007604166666666667</v>
      </c>
      <c r="AH6" s="303" t="n">
        <v>0.0006944444444444445</v>
      </c>
      <c r="AI6" s="303" t="n">
        <v>0.0007291666666666667</v>
      </c>
      <c r="AJ6" s="303" t="n">
        <v>0.0006581018518518519</v>
      </c>
      <c r="AK6" s="303" t="n">
        <v>0.0006909722222222223</v>
      </c>
      <c r="AL6" s="303" t="n">
        <v>0.0006559027777777778</v>
      </c>
      <c r="AM6" s="303" t="n">
        <v>0.0006886574074074074</v>
      </c>
      <c r="AN6" s="303" t="n">
        <v>0.0006415509259259259</v>
      </c>
      <c r="AO6" s="303" t="n">
        <v>0.0006736111111111112</v>
      </c>
      <c r="AP6" s="303" t="n">
        <v>0.0006172453703703703</v>
      </c>
      <c r="AQ6" s="303" t="n">
        <v>0.0006481481481481481</v>
      </c>
      <c r="AR6" s="303" t="n">
        <v>0.0007789351851851851</v>
      </c>
      <c r="AS6" s="303" t="n">
        <v>0.0008194444444444444</v>
      </c>
      <c r="AT6" s="303" t="n">
        <v>0.0007083333333333334</v>
      </c>
      <c r="AU6" s="303" t="n">
        <v>0.0007453703703703704</v>
      </c>
      <c r="AV6" s="303" t="n">
        <v>0.0006782407407407408</v>
      </c>
      <c r="AW6" s="303" t="n">
        <v>0.0007141203703703704</v>
      </c>
      <c r="AX6" s="303" t="n">
        <v>0.0006412037037037037</v>
      </c>
      <c r="AY6" s="303" t="n">
        <v>0.0006747685185185184</v>
      </c>
      <c r="AZ6" s="303" t="n">
        <v>0.0006388888888888889</v>
      </c>
      <c r="BA6" s="303" t="n">
        <v>0.0006724537037037038</v>
      </c>
      <c r="BB6" s="303" t="n">
        <v>0.0006238425925925926</v>
      </c>
      <c r="BC6" s="303" t="n">
        <v>0.00065625</v>
      </c>
      <c r="BD6" s="303" t="n">
        <v>0.0005983796296296297</v>
      </c>
      <c r="BE6" s="303" t="n">
        <v>0.000630787037037037</v>
      </c>
    </row>
    <row r="7">
      <c r="A7" s="299" t="inlineStr">
        <is>
          <t>200 Free</t>
        </is>
      </c>
      <c r="B7" s="303" t="n">
        <v>0.001670023148148148</v>
      </c>
      <c r="C7" s="303" t="n">
        <v>0.001753472222222222</v>
      </c>
      <c r="D7" s="303" t="n">
        <v>0.001595023148148148</v>
      </c>
      <c r="E7" s="303" t="n">
        <v>0.001674768518518518</v>
      </c>
      <c r="F7" s="303" t="n">
        <v>0.001555324074074074</v>
      </c>
      <c r="G7" s="303" t="n">
        <v>0.001633101851851852</v>
      </c>
      <c r="H7" s="303" t="n">
        <v>0.001543171296296296</v>
      </c>
      <c r="I7" s="303" t="n">
        <v>0.00162037037037037</v>
      </c>
      <c r="J7" s="303" t="n">
        <v>0.001532175925925926</v>
      </c>
      <c r="K7" s="303" t="n">
        <v>0.001608796296296296</v>
      </c>
      <c r="L7" s="303" t="n">
        <v>0.001528935185185185</v>
      </c>
      <c r="M7" s="303" t="n">
        <v>0.001605324074074074</v>
      </c>
      <c r="N7" s="303" t="n">
        <v>0.001511226851851852</v>
      </c>
      <c r="O7" s="303" t="n">
        <v>0.001586805555555555</v>
      </c>
      <c r="P7" s="303" t="n">
        <v>0.001642361111111111</v>
      </c>
      <c r="Q7" s="303" t="n">
        <v>0.001726851851851852</v>
      </c>
      <c r="R7" s="303" t="n">
        <v>0.001565972222222222</v>
      </c>
      <c r="S7" s="303" t="n">
        <v>0.001646990740740741</v>
      </c>
      <c r="T7" s="303" t="n">
        <v>0.001525462962962963</v>
      </c>
      <c r="U7" s="303" t="n">
        <v>0.001604166666666667</v>
      </c>
      <c r="V7" s="303" t="n">
        <v>0.001512731481481481</v>
      </c>
      <c r="W7" s="303" t="n">
        <v>0.001591435185185185</v>
      </c>
      <c r="X7" s="303" t="n">
        <v>0.001501157407407407</v>
      </c>
      <c r="Y7" s="303" t="n">
        <v>0.001579861111111111</v>
      </c>
      <c r="Z7" s="303" t="n">
        <v>0.001497685185185185</v>
      </c>
      <c r="AA7" s="303" t="n">
        <v>0.001576388888888889</v>
      </c>
      <c r="AB7" s="303" t="n">
        <v>0.001480324074074074</v>
      </c>
      <c r="AC7" s="303" t="n">
        <v>0.001556712962962963</v>
      </c>
      <c r="AD7" s="303" t="n">
        <v>0.001686458333333333</v>
      </c>
      <c r="AE7" s="303" t="n">
        <v>0.001770833333333333</v>
      </c>
      <c r="AF7" s="303" t="n">
        <v>0.001598379629629629</v>
      </c>
      <c r="AG7" s="303" t="n">
        <v>0.001678240740740741</v>
      </c>
      <c r="AH7" s="303" t="n">
        <v>0.001521180555555556</v>
      </c>
      <c r="AI7" s="303" t="n">
        <v>0.001597222222222222</v>
      </c>
      <c r="AJ7" s="303" t="n">
        <v>0.001443981481481482</v>
      </c>
      <c r="AK7" s="303" t="n">
        <v>0.001516203703703704</v>
      </c>
      <c r="AL7" s="303" t="n">
        <v>0.001421990740740741</v>
      </c>
      <c r="AM7" s="303" t="n">
        <v>0.001493055555555556</v>
      </c>
      <c r="AN7" s="303" t="n">
        <v>0.001417592592592593</v>
      </c>
      <c r="AO7" s="303" t="n">
        <v>0.001488425925925926</v>
      </c>
      <c r="AP7" s="303" t="n">
        <v>0.001387731481481482</v>
      </c>
      <c r="AQ7" s="303" t="n">
        <v>0.001457175925925926</v>
      </c>
      <c r="AR7" s="303" t="n">
        <v>0.001658564814814815</v>
      </c>
      <c r="AS7" s="303" t="n">
        <v>0.001744212962962963</v>
      </c>
      <c r="AT7" s="303" t="n">
        <v>0.001569444444444444</v>
      </c>
      <c r="AU7" s="303" t="n">
        <v>0.001650462962962963</v>
      </c>
      <c r="AV7" s="303" t="n">
        <v>0.001490740740740741</v>
      </c>
      <c r="AW7" s="303" t="n">
        <v>0.001568287037037037</v>
      </c>
      <c r="AX7" s="303" t="n">
        <v>0.001412037037037037</v>
      </c>
      <c r="AY7" s="303" t="n">
        <v>0.001484953703703704</v>
      </c>
      <c r="AZ7" s="303" t="n">
        <v>0.001388888888888889</v>
      </c>
      <c r="BA7" s="303" t="n">
        <v>0.001461805555555556</v>
      </c>
      <c r="BB7" s="303" t="n">
        <v>0.001384259259259259</v>
      </c>
      <c r="BC7" s="303" t="n">
        <v>0.001457175925925926</v>
      </c>
      <c r="BD7" s="303" t="n">
        <v>0.001354166666666667</v>
      </c>
      <c r="BE7" s="303" t="n">
        <v>0.001424768518518518</v>
      </c>
    </row>
    <row r="8">
      <c r="A8" s="299" t="inlineStr">
        <is>
          <t>400 Free</t>
        </is>
      </c>
      <c r="B8" s="303" t="n">
        <v>0.003540509259259259</v>
      </c>
      <c r="C8" s="303" t="n">
        <v>0.003717592592592593</v>
      </c>
      <c r="D8" s="303" t="n">
        <v>0.003339930555555556</v>
      </c>
      <c r="E8" s="303" t="n">
        <v>0.003506944444444444</v>
      </c>
      <c r="F8" s="303" t="n">
        <v>0.003251736111111111</v>
      </c>
      <c r="G8" s="303" t="n">
        <v>0.003414351851851852</v>
      </c>
      <c r="H8" s="303" t="n">
        <v>0.0032</v>
      </c>
      <c r="I8" s="303" t="n">
        <v>0.003359953703703704</v>
      </c>
      <c r="J8" s="303" t="n">
        <v>0.003176851851851852</v>
      </c>
      <c r="K8" s="303" t="n">
        <v>0.003335648148148148</v>
      </c>
      <c r="L8" s="303" t="n">
        <v>0.003152546296296296</v>
      </c>
      <c r="M8" s="303" t="n">
        <v>0.003310185185185185</v>
      </c>
      <c r="N8" s="303" t="n">
        <v>0.00309849537037037</v>
      </c>
      <c r="O8" s="303" t="n">
        <v>0.003253472222222222</v>
      </c>
      <c r="P8" s="303" t="n">
        <v>0.003487268518518518</v>
      </c>
      <c r="Q8" s="303" t="n">
        <v>0.003666666666666667</v>
      </c>
      <c r="R8" s="303" t="n">
        <v>0.003283564814814815</v>
      </c>
      <c r="S8" s="303" t="n">
        <v>0.003452546296296296</v>
      </c>
      <c r="T8" s="303" t="n">
        <v>0.003193287037037037</v>
      </c>
      <c r="U8" s="303" t="n">
        <v>0.003358796296296296</v>
      </c>
      <c r="V8" s="303" t="n">
        <v>0.003141203703703703</v>
      </c>
      <c r="W8" s="303" t="n">
        <v>0.00330324074074074</v>
      </c>
      <c r="X8" s="303" t="n">
        <v>0.003116898148148148</v>
      </c>
      <c r="Y8" s="303" t="n">
        <v>0.003278935185185186</v>
      </c>
      <c r="Z8" s="303" t="n">
        <v>0.003092592592592593</v>
      </c>
      <c r="AA8" s="303" t="n">
        <v>0.003253472222222222</v>
      </c>
      <c r="AB8" s="303" t="n">
        <v>0.003037037037037037</v>
      </c>
      <c r="AC8" s="303" t="n">
        <v>0.003195601851851852</v>
      </c>
      <c r="AD8" s="303" t="n">
        <v>0.003541666666666666</v>
      </c>
      <c r="AE8" s="303" t="n">
        <v>0.00371875</v>
      </c>
      <c r="AF8" s="303" t="n">
        <v>0.003284837962962963</v>
      </c>
      <c r="AG8" s="303" t="n">
        <v>0.003449074074074074</v>
      </c>
      <c r="AH8" s="303" t="n">
        <v>0.003156944444444444</v>
      </c>
      <c r="AI8" s="303" t="n">
        <v>0.003314814814814815</v>
      </c>
      <c r="AJ8" s="303" t="n">
        <v>0.003009259259259259</v>
      </c>
      <c r="AK8" s="303" t="n">
        <v>0.003159722222222222</v>
      </c>
      <c r="AL8" s="303" t="n">
        <v>0.002994907407407408</v>
      </c>
      <c r="AM8" s="303" t="n">
        <v>0.003144675925925926</v>
      </c>
      <c r="AN8" s="303" t="n">
        <v>0.002970717592592593</v>
      </c>
      <c r="AO8" s="303" t="n">
        <v>0.003119212962962963</v>
      </c>
      <c r="AP8" s="303" t="n">
        <v>0.002935416666666667</v>
      </c>
      <c r="AQ8" s="303" t="n">
        <v>0.003082175925925926</v>
      </c>
      <c r="AR8" s="303" t="n">
        <v>0.003488425925925926</v>
      </c>
      <c r="AS8" s="303" t="n">
        <v>0.003667824074074074</v>
      </c>
      <c r="AT8" s="303" t="n">
        <v>0.003226851851851852</v>
      </c>
      <c r="AU8" s="303" t="n">
        <v>0.003394675925925926</v>
      </c>
      <c r="AV8" s="303" t="n">
        <v>0.003097222222222223</v>
      </c>
      <c r="AW8" s="303" t="n">
        <v>0.003258101851851852</v>
      </c>
      <c r="AX8" s="303" t="n">
        <v>0.002946759259259259</v>
      </c>
      <c r="AY8" s="303" t="n">
        <v>0.003099537037037037</v>
      </c>
      <c r="AZ8" s="303" t="n">
        <v>0.002931712962962963</v>
      </c>
      <c r="BA8" s="303" t="n">
        <v>0.003084490740740741</v>
      </c>
      <c r="BB8" s="303" t="n">
        <v>0.002907407407407407</v>
      </c>
      <c r="BC8" s="303" t="n">
        <v>0.00305787037037037</v>
      </c>
      <c r="BD8" s="303" t="n">
        <v>0.00287037037037037</v>
      </c>
      <c r="BE8" s="303" t="n">
        <v>0.003020833333333333</v>
      </c>
    </row>
    <row r="9">
      <c r="A9" s="299" t="inlineStr">
        <is>
          <t>800 Free</t>
        </is>
      </c>
      <c r="B9" s="303" t="n">
        <v>0.007142824074074074</v>
      </c>
      <c r="C9" s="303" t="n">
        <v>0.0075</v>
      </c>
      <c r="D9" s="303" t="n">
        <v>0.006878356481481481</v>
      </c>
      <c r="E9" s="303" t="n">
        <v>0.007222222222222222</v>
      </c>
      <c r="F9" s="303" t="n">
        <v>0.00685625</v>
      </c>
      <c r="G9" s="303" t="n">
        <v>0.007199074074074074</v>
      </c>
      <c r="H9" s="303" t="n">
        <v>0.006816550925925926</v>
      </c>
      <c r="I9" s="303" t="n">
        <v>0.007157407407407407</v>
      </c>
      <c r="J9" s="303" t="n">
        <v>0.006776851851851852</v>
      </c>
      <c r="K9" s="303" t="n">
        <v>0.00711574074074074</v>
      </c>
      <c r="L9" s="303" t="n">
        <v>0.006738310185185186</v>
      </c>
      <c r="M9" s="303" t="n">
        <v>0.007075231481481481</v>
      </c>
      <c r="N9" s="303" t="n">
        <v>0.006726157407407407</v>
      </c>
      <c r="O9" s="303" t="n">
        <v>0.0070625</v>
      </c>
      <c r="P9" s="303" t="n">
        <v>0.007033564814814815</v>
      </c>
      <c r="Q9" s="303" t="n">
        <v>0.007395833333333333</v>
      </c>
      <c r="R9" s="303" t="n">
        <v>0.006765046296296296</v>
      </c>
      <c r="S9" s="303" t="n">
        <v>0.007114583333333334</v>
      </c>
      <c r="T9" s="303" t="n">
        <v>0.006741898148148148</v>
      </c>
      <c r="U9" s="303" t="n">
        <v>0.007090277777777778</v>
      </c>
      <c r="V9" s="303" t="n">
        <v>0.006702546296296297</v>
      </c>
      <c r="W9" s="303" t="n">
        <v>0.007048611111111111</v>
      </c>
      <c r="X9" s="303" t="n">
        <v>0.006662037037037037</v>
      </c>
      <c r="Y9" s="303" t="n">
        <v>0.007005787037037037</v>
      </c>
      <c r="Z9" s="303" t="n">
        <v>0.006622685185185185</v>
      </c>
      <c r="AA9" s="303" t="n">
        <v>0.006965277777777777</v>
      </c>
      <c r="AB9" s="303" t="n">
        <v>0.006609953703703704</v>
      </c>
      <c r="AC9" s="303" t="n">
        <v>0.006952546296296297</v>
      </c>
      <c r="AD9" s="303" t="n">
        <v>0.007319212962962963</v>
      </c>
      <c r="AE9" s="303" t="n">
        <v>0.007685185185185186</v>
      </c>
      <c r="AF9" s="303" t="n">
        <v>0.006746064814814815</v>
      </c>
      <c r="AG9" s="303" t="n">
        <v>0.007083333333333333</v>
      </c>
      <c r="AH9" s="303" t="n">
        <v>0.006509027777777778</v>
      </c>
      <c r="AI9" s="303" t="n">
        <v>0.006834490740740741</v>
      </c>
      <c r="AJ9" s="303" t="n">
        <v>0.006404282407407408</v>
      </c>
      <c r="AK9" s="303" t="n">
        <v>0.006724537037037037</v>
      </c>
      <c r="AL9" s="303" t="n">
        <v>0.006308449074074074</v>
      </c>
      <c r="AM9" s="303" t="n">
        <v>0.006623842592592592</v>
      </c>
      <c r="AN9" s="303" t="n">
        <v>0.006308449074074074</v>
      </c>
      <c r="AO9" s="303" t="n">
        <v>0.006623842592592592</v>
      </c>
      <c r="AP9" s="303" t="n">
        <v>0.006198148148148148</v>
      </c>
      <c r="AQ9" s="303" t="n">
        <v>0.006508101851851852</v>
      </c>
      <c r="AR9" s="303" t="n">
        <v>0.007212962962962964</v>
      </c>
      <c r="AS9" s="303" t="n">
        <v>0.007583333333333334</v>
      </c>
      <c r="AT9" s="303" t="n">
        <v>0.006630787037037037</v>
      </c>
      <c r="AU9" s="303" t="n">
        <v>0.00697337962962963</v>
      </c>
      <c r="AV9" s="303" t="n">
        <v>0.006388888888888889</v>
      </c>
      <c r="AW9" s="303" t="n">
        <v>0.006719907407407408</v>
      </c>
      <c r="AX9" s="303" t="n">
        <v>0.006282407407407407</v>
      </c>
      <c r="AY9" s="303" t="n">
        <v>0.006608796296296297</v>
      </c>
      <c r="AZ9" s="303" t="n">
        <v>0.006185185185185185</v>
      </c>
      <c r="BA9" s="303" t="n">
        <v>0.006505787037037037</v>
      </c>
      <c r="BB9" s="303" t="n">
        <v>0.006185185185185185</v>
      </c>
      <c r="BC9" s="303" t="n">
        <v>0.006505787037037037</v>
      </c>
      <c r="BD9" s="303" t="n">
        <v>0.006071759259259259</v>
      </c>
      <c r="BE9" s="303" t="n">
        <v>0.006387731481481481</v>
      </c>
    </row>
    <row r="10">
      <c r="A10" s="299" t="inlineStr">
        <is>
          <t>1500 Free</t>
        </is>
      </c>
      <c r="B10" s="303" t="n">
        <v>0.01388888888888889</v>
      </c>
      <c r="C10" s="303" t="n">
        <v>0.01458333333333333</v>
      </c>
      <c r="D10" s="303" t="n">
        <v>0.01366840277777778</v>
      </c>
      <c r="E10" s="303" t="n">
        <v>0.01435185185185185</v>
      </c>
      <c r="F10" s="303" t="n">
        <v>0.01304780092592592</v>
      </c>
      <c r="G10" s="303" t="n">
        <v>0.01370023148148148</v>
      </c>
      <c r="H10" s="303" t="n">
        <v>0.01261689814814815</v>
      </c>
      <c r="I10" s="303" t="n">
        <v>0.01324768518518518</v>
      </c>
      <c r="J10" s="303" t="n">
        <v>0.01254849537037037</v>
      </c>
      <c r="K10" s="303" t="n">
        <v>0.01317592592592593</v>
      </c>
      <c r="L10" s="303" t="n">
        <v>0.01244050925925926</v>
      </c>
      <c r="M10" s="303" t="n">
        <v>0.0130625</v>
      </c>
      <c r="N10" s="303" t="n">
        <v>0.0123181712962963</v>
      </c>
      <c r="O10" s="303" t="n">
        <v>0.01293402777777778</v>
      </c>
      <c r="P10" s="303" t="n">
        <v>0.01368865740740741</v>
      </c>
      <c r="Q10" s="303" t="n">
        <v>0.01439236111111111</v>
      </c>
      <c r="R10" s="303" t="n">
        <v>0.01346412037037037</v>
      </c>
      <c r="S10" s="303" t="n">
        <v>0.01415740740740741</v>
      </c>
      <c r="T10" s="303" t="n">
        <v>0.01283449074074074</v>
      </c>
      <c r="U10" s="303" t="n">
        <v>0.01349652777777778</v>
      </c>
      <c r="V10" s="303" t="n">
        <v>0.01239583333333333</v>
      </c>
      <c r="W10" s="303" t="n">
        <v>0.01303703703703704</v>
      </c>
      <c r="X10" s="303" t="n">
        <v>0.01232638888888889</v>
      </c>
      <c r="Y10" s="303" t="n">
        <v>0.01296412037037037</v>
      </c>
      <c r="Z10" s="303" t="n">
        <v>0.01221643518518518</v>
      </c>
      <c r="AA10" s="303" t="n">
        <v>0.01284953703703704</v>
      </c>
      <c r="AB10" s="303" t="n">
        <v>0.01209143518518519</v>
      </c>
      <c r="AC10" s="303" t="n">
        <v>0.01271875</v>
      </c>
      <c r="AD10" s="303" t="n">
        <v>0.01417881944444444</v>
      </c>
      <c r="AE10" s="303" t="n">
        <v>0.01488773148148148</v>
      </c>
      <c r="AF10" s="303" t="n">
        <v>0.01286377314814815</v>
      </c>
      <c r="AG10" s="303" t="n">
        <v>0.01350694444444444</v>
      </c>
      <c r="AH10" s="303" t="n">
        <v>0.01256608796296296</v>
      </c>
      <c r="AI10" s="303" t="n">
        <v>0.01319444444444444</v>
      </c>
      <c r="AJ10" s="303" t="n">
        <v>0.01229050925925926</v>
      </c>
      <c r="AK10" s="303" t="n">
        <v>0.01290509259259259</v>
      </c>
      <c r="AL10" s="303" t="n">
        <v>0.01212523148148148</v>
      </c>
      <c r="AM10" s="303" t="n">
        <v>0.01273148148148148</v>
      </c>
      <c r="AN10" s="303" t="n">
        <v>0.01204259259259259</v>
      </c>
      <c r="AO10" s="303" t="n">
        <v>0.01264467592592593</v>
      </c>
      <c r="AP10" s="303" t="n">
        <v>0.01192789351851852</v>
      </c>
      <c r="AQ10" s="303" t="n">
        <v>0.01252430555555555</v>
      </c>
      <c r="AR10" s="303" t="n">
        <v>0.01398263888888889</v>
      </c>
      <c r="AS10" s="303" t="n">
        <v>0.01470023148148148</v>
      </c>
      <c r="AT10" s="303" t="n">
        <v>0.01264699074074074</v>
      </c>
      <c r="AU10" s="303" t="n">
        <v>0.01330092592592593</v>
      </c>
      <c r="AV10" s="303" t="n">
        <v>0.01234490740740741</v>
      </c>
      <c r="AW10" s="303" t="n">
        <v>0.0129837962962963</v>
      </c>
      <c r="AX10" s="303" t="n">
        <v>0.01206365740740741</v>
      </c>
      <c r="AY10" s="303" t="n">
        <v>0.01268865740740741</v>
      </c>
      <c r="AZ10" s="303" t="n">
        <v>0.01189583333333333</v>
      </c>
      <c r="BA10" s="303" t="n">
        <v>0.01251273148148148</v>
      </c>
      <c r="BB10" s="303" t="n">
        <v>0.01181134259259259</v>
      </c>
      <c r="BC10" s="303" t="n">
        <v>0.01242476851851852</v>
      </c>
      <c r="BD10" s="303" t="n">
        <v>0.01169444444444444</v>
      </c>
      <c r="BE10" s="303" t="n">
        <v>0.01230208333333334</v>
      </c>
    </row>
    <row r="11">
      <c r="A11" s="299" t="inlineStr">
        <is>
          <t>50 Breast</t>
        </is>
      </c>
      <c r="B11" s="303" t="n">
        <v>0.0004673611111111112</v>
      </c>
      <c r="C11" s="303" t="n">
        <v>0.0004907407407407407</v>
      </c>
      <c r="D11" s="303" t="n">
        <v>0.0004420138888888889</v>
      </c>
      <c r="E11" s="303" t="n">
        <v>0.0004641203703703704</v>
      </c>
      <c r="F11" s="303" t="n">
        <v>0.0004298611111111111</v>
      </c>
      <c r="G11" s="303" t="n">
        <v>0.0004513888888888889</v>
      </c>
      <c r="H11" s="303" t="n">
        <v>0.0004244212962962963</v>
      </c>
      <c r="I11" s="303" t="n">
        <v>0.0004456018518518519</v>
      </c>
      <c r="J11" s="303" t="n">
        <v>0.0004188657407407407</v>
      </c>
      <c r="K11" s="303" t="n">
        <v>0.0004398148148148148</v>
      </c>
      <c r="L11" s="303" t="n">
        <v>0.0004178240740740741</v>
      </c>
      <c r="M11" s="303" t="n">
        <v>0.0004386574074074074</v>
      </c>
      <c r="N11" s="303" t="n">
        <v>0.0004133101851851852</v>
      </c>
      <c r="O11" s="303" t="n">
        <v>0.0004340277777777778</v>
      </c>
      <c r="P11" s="303" t="n">
        <v>0.0004583333333333333</v>
      </c>
      <c r="Q11" s="303" t="n">
        <v>0.0004814814814814815</v>
      </c>
      <c r="R11" s="303" t="n">
        <v>0.0004328703703703704</v>
      </c>
      <c r="S11" s="303" t="n">
        <v>0.0004548611111111111</v>
      </c>
      <c r="T11" s="303" t="n">
        <v>0.0004201388888888888</v>
      </c>
      <c r="U11" s="303" t="n">
        <v>0.0004421296296296297</v>
      </c>
      <c r="V11" s="303" t="n">
        <v>0.0004143518518518518</v>
      </c>
      <c r="W11" s="303" t="n">
        <v>0.0004363425925925926</v>
      </c>
      <c r="X11" s="303" t="n">
        <v>0.0004085648148148148</v>
      </c>
      <c r="Y11" s="303" t="n">
        <v>0.0004305555555555556</v>
      </c>
      <c r="Z11" s="303" t="n">
        <v>0.0004074074074074074</v>
      </c>
      <c r="AA11" s="303" t="n">
        <v>0.0004293981481481482</v>
      </c>
      <c r="AB11" s="303" t="n">
        <v>0.0004027777777777777</v>
      </c>
      <c r="AC11" s="303" t="n">
        <v>0.0004247685185185186</v>
      </c>
      <c r="AD11" s="303" t="n">
        <v>0.0004695601851851852</v>
      </c>
      <c r="AE11" s="303" t="n">
        <v>0.0004930555555555556</v>
      </c>
      <c r="AF11" s="303" t="n">
        <v>0.0004188657407407407</v>
      </c>
      <c r="AG11" s="303" t="n">
        <v>0.0004398148148148148</v>
      </c>
      <c r="AH11" s="303" t="n">
        <v>0.0004122685185185185</v>
      </c>
      <c r="AI11" s="303" t="n">
        <v>0.0004328703703703704</v>
      </c>
      <c r="AJ11" s="303" t="n">
        <v>0.000387962962962963</v>
      </c>
      <c r="AK11" s="303" t="n">
        <v>0.0004074074074074074</v>
      </c>
      <c r="AL11" s="303" t="n">
        <v>0.0003813657407407408</v>
      </c>
      <c r="AM11" s="303" t="n">
        <v>0.000400462962962963</v>
      </c>
      <c r="AN11" s="303" t="n">
        <v>0.0003813657407407408</v>
      </c>
      <c r="AO11" s="303" t="n">
        <v>0.000400462962962963</v>
      </c>
      <c r="AP11" s="303" t="n">
        <v>0.0003472222222222222</v>
      </c>
      <c r="AQ11" s="303" t="n">
        <v>0.0003645833333333333</v>
      </c>
      <c r="AR11" s="303" t="n">
        <v>0.0004606481481481481</v>
      </c>
      <c r="AS11" s="303" t="n">
        <v>0.0004849537037037037</v>
      </c>
      <c r="AT11" s="303" t="n">
        <v>0.0004085648148148148</v>
      </c>
      <c r="AU11" s="303" t="n">
        <v>0.0004305555555555556</v>
      </c>
      <c r="AV11" s="303" t="n">
        <v>0.0004016203703703704</v>
      </c>
      <c r="AW11" s="303" t="n">
        <v>0.0004224537037037037</v>
      </c>
      <c r="AX11" s="303" t="n">
        <v>0.0003773148148148148</v>
      </c>
      <c r="AY11" s="303" t="n">
        <v>0.0003969907407407407</v>
      </c>
      <c r="AZ11" s="303" t="n">
        <v>0.0003703703703703704</v>
      </c>
      <c r="BA11" s="303" t="n">
        <v>0.0003900462962962963</v>
      </c>
      <c r="BB11" s="303" t="n">
        <v>0.0003703703703703704</v>
      </c>
      <c r="BC11" s="303" t="n">
        <v>0.0003900462962962963</v>
      </c>
      <c r="BD11" s="303" t="n">
        <v>0.0003344907407407407</v>
      </c>
      <c r="BE11" s="303" t="n">
        <v>0.0003530092592592592</v>
      </c>
    </row>
    <row r="12">
      <c r="A12" s="299" t="inlineStr">
        <is>
          <t>100 Breast</t>
        </is>
      </c>
      <c r="B12" s="303" t="n">
        <v>0.001039467592592593</v>
      </c>
      <c r="C12" s="303" t="n">
        <v>0.001091435185185185</v>
      </c>
      <c r="D12" s="303" t="n">
        <v>0.0009710648148148149</v>
      </c>
      <c r="E12" s="303" t="n">
        <v>0.001019675925925926</v>
      </c>
      <c r="F12" s="303" t="n">
        <v>0.000932523148148148</v>
      </c>
      <c r="G12" s="303" t="n">
        <v>0.0009791666666666666</v>
      </c>
      <c r="H12" s="303" t="n">
        <v>0.0009292824074074075</v>
      </c>
      <c r="I12" s="303" t="n">
        <v>0.0009756944444444444</v>
      </c>
      <c r="J12" s="303" t="n">
        <v>0.0009270833333333333</v>
      </c>
      <c r="K12" s="303" t="n">
        <v>0.0009733796296296296</v>
      </c>
      <c r="L12" s="303" t="n">
        <v>0.0009203703703703703</v>
      </c>
      <c r="M12" s="303" t="n">
        <v>0.0009664351851851852</v>
      </c>
      <c r="N12" s="303" t="n">
        <v>0.0009049768518518518</v>
      </c>
      <c r="O12" s="303" t="n">
        <v>0.0009502314814814814</v>
      </c>
      <c r="P12" s="303" t="n">
        <v>0.001023148148148148</v>
      </c>
      <c r="Q12" s="303" t="n">
        <v>0.001076388888888889</v>
      </c>
      <c r="R12" s="303" t="n">
        <v>0.0009537037037037038</v>
      </c>
      <c r="S12" s="303" t="n">
        <v>0.001003472222222222</v>
      </c>
      <c r="T12" s="303" t="n">
        <v>0.0009143518518518518</v>
      </c>
      <c r="U12" s="303" t="n">
        <v>0.0009618055555555555</v>
      </c>
      <c r="V12" s="303" t="n">
        <v>0.0009108796296296296</v>
      </c>
      <c r="W12" s="303" t="n">
        <v>0.0009583333333333333</v>
      </c>
      <c r="X12" s="303" t="n">
        <v>0.0009085648148148148</v>
      </c>
      <c r="Y12" s="303" t="n">
        <v>0.0009560185185185185</v>
      </c>
      <c r="Z12" s="303" t="n">
        <v>0.0009016203703703704</v>
      </c>
      <c r="AA12" s="303" t="n">
        <v>0.0009490740740740741</v>
      </c>
      <c r="AB12" s="303" t="n">
        <v>0.000886574074074074</v>
      </c>
      <c r="AC12" s="303" t="n">
        <v>0.0009328703703703703</v>
      </c>
      <c r="AD12" s="303" t="n">
        <v>0.001025115740740741</v>
      </c>
      <c r="AE12" s="303" t="n">
        <v>0.001076388888888889</v>
      </c>
      <c r="AF12" s="303" t="n">
        <v>0.0009435185185185184</v>
      </c>
      <c r="AG12" s="303" t="n">
        <v>0.0009907407407407406</v>
      </c>
      <c r="AH12" s="303" t="n">
        <v>0.000888425925925926</v>
      </c>
      <c r="AI12" s="303" t="n">
        <v>0.0009328703703703703</v>
      </c>
      <c r="AJ12" s="303" t="n">
        <v>0.0008487268518518518</v>
      </c>
      <c r="AK12" s="303" t="n">
        <v>0.0008912037037037037</v>
      </c>
      <c r="AL12" s="303" t="n">
        <v>0.0008443287037037037</v>
      </c>
      <c r="AM12" s="303" t="n">
        <v>0.000886574074074074</v>
      </c>
      <c r="AN12" s="303" t="n">
        <v>0.0008277777777777778</v>
      </c>
      <c r="AO12" s="303" t="n">
        <v>0.0008692129629629629</v>
      </c>
      <c r="AP12" s="303" t="n">
        <v>0.0008013888888888888</v>
      </c>
      <c r="AQ12" s="303" t="n">
        <v>0.0008414351851851852</v>
      </c>
      <c r="AR12" s="303" t="n">
        <v>0.001008101851851852</v>
      </c>
      <c r="AS12" s="303" t="n">
        <v>0.001060185185185185</v>
      </c>
      <c r="AT12" s="303" t="n">
        <v>0.000925925925925926</v>
      </c>
      <c r="AU12" s="303" t="n">
        <v>0.0009733796296296296</v>
      </c>
      <c r="AV12" s="303" t="n">
        <v>0.0008692129629629629</v>
      </c>
      <c r="AW12" s="303" t="n">
        <v>0.0009143518518518518</v>
      </c>
      <c r="AX12" s="303" t="n">
        <v>0.0008287037037037037</v>
      </c>
      <c r="AY12" s="303" t="n">
        <v>0.0008715277777777777</v>
      </c>
      <c r="AZ12" s="303" t="n">
        <v>0.0008240740740740741</v>
      </c>
      <c r="BA12" s="303" t="n">
        <v>0.0008668981481481482</v>
      </c>
      <c r="BB12" s="303" t="n">
        <v>0.000806712962962963</v>
      </c>
      <c r="BC12" s="303" t="n">
        <v>0.0008495370370370371</v>
      </c>
      <c r="BD12" s="303" t="n">
        <v>0.0007800925925925926</v>
      </c>
      <c r="BE12" s="303" t="n">
        <v>0.0008206018518518519</v>
      </c>
    </row>
    <row r="13">
      <c r="A13" s="299" t="inlineStr">
        <is>
          <t>200 Breast</t>
        </is>
      </c>
      <c r="B13" s="303" t="n">
        <v>0.002220023148148148</v>
      </c>
      <c r="C13" s="303" t="n">
        <v>0.002331018518518519</v>
      </c>
      <c r="D13" s="303" t="n">
        <v>0.002066782407407407</v>
      </c>
      <c r="E13" s="303" t="n">
        <v>0.002170138888888889</v>
      </c>
      <c r="F13" s="303" t="n">
        <v>0.002028240740740741</v>
      </c>
      <c r="G13" s="303" t="n">
        <v>0.00212962962962963</v>
      </c>
      <c r="H13" s="303" t="n">
        <v>0.00200613425925926</v>
      </c>
      <c r="I13" s="303" t="n">
        <v>0.002106481481481481</v>
      </c>
      <c r="J13" s="303" t="n">
        <v>0.001995138888888889</v>
      </c>
      <c r="K13" s="303" t="n">
        <v>0.002094907407407407</v>
      </c>
      <c r="L13" s="303" t="n">
        <v>0.001995138888888889</v>
      </c>
      <c r="M13" s="303" t="n">
        <v>0.002094907407407407</v>
      </c>
      <c r="N13" s="303" t="n">
        <v>0.001991898148148148</v>
      </c>
      <c r="O13" s="303" t="n">
        <v>0.002091435185185185</v>
      </c>
      <c r="P13" s="303" t="n">
        <v>0.0021875</v>
      </c>
      <c r="Q13" s="303" t="n">
        <v>0.002300925925925926</v>
      </c>
      <c r="R13" s="303" t="n">
        <v>0.002032407407407407</v>
      </c>
      <c r="S13" s="303" t="n">
        <v>0.002137731481481481</v>
      </c>
      <c r="T13" s="303" t="n">
        <v>0.001993055555555556</v>
      </c>
      <c r="U13" s="303" t="n">
        <v>0.002096064814814815</v>
      </c>
      <c r="V13" s="303" t="n">
        <v>0.001971064814814815</v>
      </c>
      <c r="W13" s="303" t="n">
        <v>0.002072916666666666</v>
      </c>
      <c r="X13" s="303" t="n">
        <v>0.001959490740740741</v>
      </c>
      <c r="Y13" s="303" t="n">
        <v>0.002061342592592592</v>
      </c>
      <c r="Z13" s="303" t="n">
        <v>0.001959490740740741</v>
      </c>
      <c r="AA13" s="303" t="n">
        <v>0.002061342592592592</v>
      </c>
      <c r="AB13" s="303" t="n">
        <v>0.001956018518518518</v>
      </c>
      <c r="AC13" s="303" t="n">
        <v>0.00205787037037037</v>
      </c>
      <c r="AD13" s="303" t="n">
        <v>0.002204629629629629</v>
      </c>
      <c r="AE13" s="303" t="n">
        <v>0.002314814814814815</v>
      </c>
      <c r="AF13" s="303" t="n">
        <v>0.002050231481481481</v>
      </c>
      <c r="AG13" s="303" t="n">
        <v>0.002152777777777778</v>
      </c>
      <c r="AH13" s="303" t="n">
        <v>0.001944444444444444</v>
      </c>
      <c r="AI13" s="303" t="n">
        <v>0.002041666666666667</v>
      </c>
      <c r="AJ13" s="303" t="n">
        <v>0.001873842592592593</v>
      </c>
      <c r="AK13" s="303" t="n">
        <v>0.001967592592592592</v>
      </c>
      <c r="AL13" s="303" t="n">
        <v>0.00185625</v>
      </c>
      <c r="AM13" s="303" t="n">
        <v>0.001949074074074074</v>
      </c>
      <c r="AN13" s="303" t="n">
        <v>0.001811111111111111</v>
      </c>
      <c r="AO13" s="303" t="n">
        <v>0.001901620370370371</v>
      </c>
      <c r="AP13" s="303" t="n">
        <v>0.001786805555555556</v>
      </c>
      <c r="AQ13" s="303" t="n">
        <v>0.001876157407407407</v>
      </c>
      <c r="AR13" s="303" t="n">
        <v>0.002172453703703704</v>
      </c>
      <c r="AS13" s="303" t="n">
        <v>0.002283564814814815</v>
      </c>
      <c r="AT13" s="303" t="n">
        <v>0.002015046296296296</v>
      </c>
      <c r="AU13" s="303" t="n">
        <v>0.002119212962962963</v>
      </c>
      <c r="AV13" s="303" t="n">
        <v>0.001907407407407408</v>
      </c>
      <c r="AW13" s="303" t="n">
        <v>0.002006944444444444</v>
      </c>
      <c r="AX13" s="303" t="n">
        <v>0.001835648148148148</v>
      </c>
      <c r="AY13" s="303" t="n">
        <v>0.001931712962962963</v>
      </c>
      <c r="AZ13" s="303" t="n">
        <v>0.001818287037037037</v>
      </c>
      <c r="BA13" s="303" t="n">
        <v>0.001912037037037037</v>
      </c>
      <c r="BB13" s="303" t="n">
        <v>0.001771990740740741</v>
      </c>
      <c r="BC13" s="303" t="n">
        <v>0.001864583333333333</v>
      </c>
      <c r="BD13" s="303" t="n">
        <v>0.001746527777777778</v>
      </c>
      <c r="BE13" s="303" t="n">
        <v>0.001837962962962963</v>
      </c>
    </row>
    <row r="14">
      <c r="A14" s="299" t="inlineStr">
        <is>
          <t>50 Fly</t>
        </is>
      </c>
      <c r="B14" s="303" t="n">
        <v>0.0003946759259259259</v>
      </c>
      <c r="C14" s="303" t="n">
        <v>0.0004143518518518518</v>
      </c>
      <c r="D14" s="303" t="n">
        <v>0.0003747685185185185</v>
      </c>
      <c r="E14" s="303" t="n">
        <v>0.0003935185185185185</v>
      </c>
      <c r="F14" s="303" t="n">
        <v>0.0003648148148148148</v>
      </c>
      <c r="G14" s="303" t="n">
        <v>0.0003831018518518519</v>
      </c>
      <c r="H14" s="303" t="n">
        <v>0.0003582175925925926</v>
      </c>
      <c r="I14" s="303" t="n">
        <v>0.0003761574074074074</v>
      </c>
      <c r="J14" s="303" t="n">
        <v>0.0003483796296296296</v>
      </c>
      <c r="K14" s="303" t="n">
        <v>0.0003657407407407408</v>
      </c>
      <c r="L14" s="303" t="n">
        <v>0.0003450231481481481</v>
      </c>
      <c r="M14" s="303" t="n">
        <v>0.0003622685185185185</v>
      </c>
      <c r="N14" s="303" t="n">
        <v>0.0003438657407407408</v>
      </c>
      <c r="O14" s="303" t="n">
        <v>0.0003611111111111111</v>
      </c>
      <c r="P14" s="303" t="n">
        <v>0.0003877314814814815</v>
      </c>
      <c r="Q14" s="303" t="n">
        <v>0.0004085648148148148</v>
      </c>
      <c r="R14" s="303" t="n">
        <v>0.0003680555555555556</v>
      </c>
      <c r="S14" s="303" t="n">
        <v>0.0003865740740740741</v>
      </c>
      <c r="T14" s="303" t="n">
        <v>0.0003576388888888889</v>
      </c>
      <c r="U14" s="303" t="n">
        <v>0.0003761574074074074</v>
      </c>
      <c r="V14" s="303" t="n">
        <v>0.0003506944444444444</v>
      </c>
      <c r="W14" s="303" t="n">
        <v>0.000369212962962963</v>
      </c>
      <c r="X14" s="303" t="n">
        <v>0.0003414351851851852</v>
      </c>
      <c r="Y14" s="303" t="n">
        <v>0.0003587962962962963</v>
      </c>
      <c r="Z14" s="303" t="n">
        <v>0.000337962962962963</v>
      </c>
      <c r="AA14" s="303" t="n">
        <v>0.0003553240740740741</v>
      </c>
      <c r="AB14" s="303" t="n">
        <v>0.0003368055555555556</v>
      </c>
      <c r="AC14" s="303" t="n">
        <v>0.0003541666666666667</v>
      </c>
      <c r="AD14" s="303" t="n">
        <v>0.0003923611111111111</v>
      </c>
      <c r="AE14" s="303" t="n">
        <v>0.000412037037037037</v>
      </c>
      <c r="AF14" s="303" t="n">
        <v>0.0003681712962962963</v>
      </c>
      <c r="AG14" s="303" t="n">
        <v>0.0003865740740740741</v>
      </c>
      <c r="AH14" s="303" t="n">
        <v>0.0003483796296296296</v>
      </c>
      <c r="AI14" s="303" t="n">
        <v>0.0003657407407407408</v>
      </c>
      <c r="AJ14" s="303" t="n">
        <v>0.0003296296296296296</v>
      </c>
      <c r="AK14" s="303" t="n">
        <v>0.0003460648148148148</v>
      </c>
      <c r="AL14" s="303" t="n">
        <v>0.0003229166666666667</v>
      </c>
      <c r="AM14" s="303" t="n">
        <v>0.0003391203703703704</v>
      </c>
      <c r="AN14" s="303" t="n">
        <v>0.0003020833333333333</v>
      </c>
      <c r="AO14" s="303" t="n">
        <v>0.0003171296296296296</v>
      </c>
      <c r="AP14" s="303" t="n">
        <v>0.0003064814814814815</v>
      </c>
      <c r="AQ14" s="303" t="n">
        <v>0.0003217592592592593</v>
      </c>
      <c r="AR14" s="303" t="n">
        <v>0.0003854166666666666</v>
      </c>
      <c r="AS14" s="303" t="n">
        <v>0.00040625</v>
      </c>
      <c r="AT14" s="303" t="n">
        <v>0.0003611111111111111</v>
      </c>
      <c r="AU14" s="303" t="n">
        <v>0.0003796296296296296</v>
      </c>
      <c r="AV14" s="303" t="n">
        <v>0.0003414351851851852</v>
      </c>
      <c r="AW14" s="303" t="n">
        <v>0.0003587962962962963</v>
      </c>
      <c r="AX14" s="303" t="n">
        <v>0.0003217592592592593</v>
      </c>
      <c r="AY14" s="303" t="n">
        <v>0.0003391203703703704</v>
      </c>
      <c r="AZ14" s="303" t="n">
        <v>0.0003148148148148148</v>
      </c>
      <c r="BA14" s="303" t="n">
        <v>0.0003310185185185185</v>
      </c>
      <c r="BB14" s="303" t="n">
        <v>0.0002939814814814815</v>
      </c>
      <c r="BC14" s="303" t="n">
        <v>0.0003090277777777778</v>
      </c>
      <c r="BD14" s="303" t="n">
        <v>0.0002986111111111111</v>
      </c>
      <c r="BE14" s="303" t="n">
        <v>0.0003136574074074074</v>
      </c>
    </row>
    <row r="15">
      <c r="A15" s="299" t="inlineStr">
        <is>
          <t>100 Fly</t>
        </is>
      </c>
      <c r="B15" s="303" t="n">
        <v>0.0009071759259259259</v>
      </c>
      <c r="C15" s="303" t="n">
        <v>0.0009525462962962963</v>
      </c>
      <c r="D15" s="303" t="n">
        <v>0.0008377314814814814</v>
      </c>
      <c r="E15" s="303" t="n">
        <v>0.0008796296296296296</v>
      </c>
      <c r="F15" s="303" t="n">
        <v>0.0008277777777777778</v>
      </c>
      <c r="G15" s="303" t="n">
        <v>0.0008692129629629629</v>
      </c>
      <c r="H15" s="303" t="n">
        <v>0.0008167824074074073</v>
      </c>
      <c r="I15" s="303" t="n">
        <v>0.0008576388888888888</v>
      </c>
      <c r="J15" s="303" t="n">
        <v>0.0008030092592592592</v>
      </c>
      <c r="K15" s="303" t="n">
        <v>0.0008431712962962962</v>
      </c>
      <c r="L15" s="303" t="n">
        <v>0.0007925925925925927</v>
      </c>
      <c r="M15" s="303" t="n">
        <v>0.000832175925925926</v>
      </c>
      <c r="N15" s="303" t="n">
        <v>0.0007770833333333333</v>
      </c>
      <c r="O15" s="303" t="n">
        <v>0.0008159722222222223</v>
      </c>
      <c r="P15" s="303" t="n">
        <v>0.0008958333333333334</v>
      </c>
      <c r="Q15" s="303" t="n">
        <v>0.0009421296296296297</v>
      </c>
      <c r="R15" s="303" t="n">
        <v>0.0008252314814814815</v>
      </c>
      <c r="S15" s="303" t="n">
        <v>0.0008680555555555555</v>
      </c>
      <c r="T15" s="303" t="n">
        <v>0.0008148148148148149</v>
      </c>
      <c r="U15" s="303" t="n">
        <v>0.0008576388888888888</v>
      </c>
      <c r="V15" s="303" t="n">
        <v>0.0008043981481481482</v>
      </c>
      <c r="W15" s="303" t="n">
        <v>0.0008460648148148148</v>
      </c>
      <c r="X15" s="303" t="n">
        <v>0.0007905092592592592</v>
      </c>
      <c r="Y15" s="303" t="n">
        <v>0.0008310185185185185</v>
      </c>
      <c r="Z15" s="303" t="n">
        <v>0.0007800925925925926</v>
      </c>
      <c r="AA15" s="303" t="n">
        <v>0.0008194444444444444</v>
      </c>
      <c r="AB15" s="303" t="n">
        <v>0.0007638888888888889</v>
      </c>
      <c r="AC15" s="303" t="n">
        <v>0.0008032407407407408</v>
      </c>
      <c r="AD15" s="303" t="n">
        <v>0.0009039351851851851</v>
      </c>
      <c r="AE15" s="303" t="n">
        <v>0.0009490740740740741</v>
      </c>
      <c r="AF15" s="303" t="n">
        <v>0.0008399305555555555</v>
      </c>
      <c r="AG15" s="303" t="n">
        <v>0.0008819444444444445</v>
      </c>
      <c r="AH15" s="303" t="n">
        <v>0.0007836805555555555</v>
      </c>
      <c r="AI15" s="303" t="n">
        <v>0.0008229166666666666</v>
      </c>
      <c r="AJ15" s="303" t="n">
        <v>0.000728587962962963</v>
      </c>
      <c r="AK15" s="303" t="n">
        <v>0.0007650462962962962</v>
      </c>
      <c r="AL15" s="303" t="n">
        <v>0.0007120370370370371</v>
      </c>
      <c r="AM15" s="303" t="n">
        <v>0.0007476851851851851</v>
      </c>
      <c r="AN15" s="303" t="n">
        <v>0.0006944444444444445</v>
      </c>
      <c r="AO15" s="303" t="n">
        <v>0.0007291666666666667</v>
      </c>
      <c r="AP15" s="303" t="n">
        <v>0.0006778935185185185</v>
      </c>
      <c r="AQ15" s="303" t="n">
        <v>0.0007118055555555556</v>
      </c>
      <c r="AR15" s="303" t="n">
        <v>0.000892361111111111</v>
      </c>
      <c r="AS15" s="303" t="n">
        <v>0.0009386574074074074</v>
      </c>
      <c r="AT15" s="303" t="n">
        <v>0.0008275462962962963</v>
      </c>
      <c r="AU15" s="303" t="n">
        <v>0.0008703703703703704</v>
      </c>
      <c r="AV15" s="303" t="n">
        <v>0.0007708333333333332</v>
      </c>
      <c r="AW15" s="303" t="n">
        <v>0.0008101851851851852</v>
      </c>
      <c r="AX15" s="303" t="n">
        <v>0.0007141203703703704</v>
      </c>
      <c r="AY15" s="303" t="n">
        <v>0.0007511574074074075</v>
      </c>
      <c r="AZ15" s="303" t="n">
        <v>0.0006979166666666667</v>
      </c>
      <c r="BA15" s="303" t="n">
        <v>0.0007337962962962963</v>
      </c>
      <c r="BB15" s="303" t="n">
        <v>0.0006793981481481482</v>
      </c>
      <c r="BC15" s="303" t="n">
        <v>0.0007152777777777778</v>
      </c>
      <c r="BD15" s="303" t="n">
        <v>0.0006631944444444444</v>
      </c>
      <c r="BE15" s="303" t="n">
        <v>0.0006979166666666667</v>
      </c>
    </row>
    <row r="16">
      <c r="A16" s="299" t="inlineStr">
        <is>
          <t>200 Fly</t>
        </is>
      </c>
      <c r="B16" s="303" t="n">
        <v>0.002119675925925926</v>
      </c>
      <c r="C16" s="303" t="n">
        <v>0.002225694444444445</v>
      </c>
      <c r="D16" s="303" t="n">
        <v>0.001917939814814815</v>
      </c>
      <c r="E16" s="303" t="n">
        <v>0.002013888888888889</v>
      </c>
      <c r="F16" s="303" t="n">
        <v>0.00186724537037037</v>
      </c>
      <c r="G16" s="303" t="n">
        <v>0.001960648148148148</v>
      </c>
      <c r="H16" s="303" t="n">
        <v>0.001830902777777778</v>
      </c>
      <c r="I16" s="303" t="n">
        <v>0.001922453703703704</v>
      </c>
      <c r="J16" s="303" t="n">
        <v>0.001806712962962963</v>
      </c>
      <c r="K16" s="303" t="n">
        <v>0.001896990740740741</v>
      </c>
      <c r="L16" s="303" t="n">
        <v>0.001792361111111111</v>
      </c>
      <c r="M16" s="303" t="n">
        <v>0.001881944444444444</v>
      </c>
      <c r="N16" s="303" t="n">
        <v>0.001783564814814815</v>
      </c>
      <c r="O16" s="303" t="n">
        <v>0.001872685185185185</v>
      </c>
      <c r="P16" s="303" t="n">
        <v>0.002099537037037037</v>
      </c>
      <c r="Q16" s="303" t="n">
        <v>0.002206018518518519</v>
      </c>
      <c r="R16" s="303" t="n">
        <v>0.001895833333333334</v>
      </c>
      <c r="S16" s="303" t="n">
        <v>0.001993055555555556</v>
      </c>
      <c r="T16" s="303" t="n">
        <v>0.001844907407407408</v>
      </c>
      <c r="U16" s="303" t="n">
        <v>0.001938657407407407</v>
      </c>
      <c r="V16" s="303" t="n">
        <v>0.00180787037037037</v>
      </c>
      <c r="W16" s="303" t="n">
        <v>0.001900462962962963</v>
      </c>
      <c r="X16" s="303" t="n">
        <v>0.001783564814814815</v>
      </c>
      <c r="Y16" s="303" t="n">
        <v>0.001875</v>
      </c>
      <c r="Z16" s="303" t="n">
        <v>0.001768518518518519</v>
      </c>
      <c r="AA16" s="303" t="n">
        <v>0.001858796296296296</v>
      </c>
      <c r="AB16" s="303" t="n">
        <v>0.001759259259259259</v>
      </c>
      <c r="AC16" s="303" t="n">
        <v>0.001849537037037037</v>
      </c>
      <c r="AD16" s="303" t="n">
        <v>0.002067939814814815</v>
      </c>
      <c r="AE16" s="303" t="n">
        <v>0.002171296296296296</v>
      </c>
      <c r="AF16" s="303" t="n">
        <v>0.001962037037037037</v>
      </c>
      <c r="AG16" s="303" t="n">
        <v>0.002060185185185185</v>
      </c>
      <c r="AH16" s="303" t="n">
        <v>0.001748263888888889</v>
      </c>
      <c r="AI16" s="303" t="n">
        <v>0.001835648148148148</v>
      </c>
      <c r="AJ16" s="303" t="n">
        <v>0.001651273148148148</v>
      </c>
      <c r="AK16" s="303" t="n">
        <v>0.001733796296296296</v>
      </c>
      <c r="AL16" s="303" t="n">
        <v>0.001636921296296296</v>
      </c>
      <c r="AM16" s="303" t="n">
        <v>0.00171875</v>
      </c>
      <c r="AN16" s="303" t="n">
        <v>0.001593865740740741</v>
      </c>
      <c r="AO16" s="303" t="n">
        <v>0.001673611111111111</v>
      </c>
      <c r="AP16" s="303" t="n">
        <v>0.001556481481481481</v>
      </c>
      <c r="AQ16" s="303" t="n">
        <v>0.001634259259259259</v>
      </c>
      <c r="AR16" s="303" t="n">
        <v>0.002047453703703704</v>
      </c>
      <c r="AS16" s="303" t="n">
        <v>0.002151620370370371</v>
      </c>
      <c r="AT16" s="303" t="n">
        <v>0.001939814814814815</v>
      </c>
      <c r="AU16" s="303" t="n">
        <v>0.002039351851851852</v>
      </c>
      <c r="AV16" s="303" t="n">
        <v>0.00172337962962963</v>
      </c>
      <c r="AW16" s="303" t="n">
        <v>0.0018125</v>
      </c>
      <c r="AX16" s="303" t="n">
        <v>0.001625</v>
      </c>
      <c r="AY16" s="303" t="n">
        <v>0.001709490740740741</v>
      </c>
      <c r="AZ16" s="303" t="n">
        <v>0.001611111111111111</v>
      </c>
      <c r="BA16" s="303" t="n">
        <v>0.001694444444444445</v>
      </c>
      <c r="BB16" s="303" t="n">
        <v>0.00156712962962963</v>
      </c>
      <c r="BC16" s="303" t="n">
        <v>0.001648148148148148</v>
      </c>
      <c r="BD16" s="303" t="n">
        <v>0.001528935185185185</v>
      </c>
      <c r="BE16" s="303" t="n">
        <v>0.001607638888888889</v>
      </c>
    </row>
    <row r="17">
      <c r="A17" s="299" t="inlineStr">
        <is>
          <t>50 Back</t>
        </is>
      </c>
      <c r="B17" s="303" t="n">
        <v>0.0004144675925925926</v>
      </c>
      <c r="C17" s="303" t="n">
        <v>0.0004351851851851852</v>
      </c>
      <c r="D17" s="303" t="n">
        <v>0.0003923611111111111</v>
      </c>
      <c r="E17" s="303" t="n">
        <v>0.000412037037037037</v>
      </c>
      <c r="F17" s="303" t="n">
        <v>0.000387962962962963</v>
      </c>
      <c r="G17" s="303" t="n">
        <v>0.0004074074074074074</v>
      </c>
      <c r="H17" s="303" t="n">
        <v>0.0003869212962962963</v>
      </c>
      <c r="I17" s="303" t="n">
        <v>0.00040625</v>
      </c>
      <c r="J17" s="303" t="n">
        <v>0.0003847222222222222</v>
      </c>
      <c r="K17" s="303" t="n">
        <v>0.0004039351851851852</v>
      </c>
      <c r="L17" s="303" t="n">
        <v>0.0003813657407407408</v>
      </c>
      <c r="M17" s="303" t="n">
        <v>0.000400462962962963</v>
      </c>
      <c r="N17" s="303" t="n">
        <v>0.0003747685185185185</v>
      </c>
      <c r="O17" s="303" t="n">
        <v>0.0003935185185185185</v>
      </c>
      <c r="P17" s="303" t="n">
        <v>0.0004074074074074074</v>
      </c>
      <c r="Q17" s="303" t="n">
        <v>0.0004293981481481482</v>
      </c>
      <c r="R17" s="303" t="n">
        <v>0.0003854166666666666</v>
      </c>
      <c r="S17" s="303" t="n">
        <v>0.0004050925925925926</v>
      </c>
      <c r="T17" s="303" t="n">
        <v>0.000380787037037037</v>
      </c>
      <c r="U17" s="303" t="n">
        <v>0.000400462962962963</v>
      </c>
      <c r="V17" s="303" t="n">
        <v>0.0003796296296296296</v>
      </c>
      <c r="W17" s="303" t="n">
        <v>0.0003993055555555556</v>
      </c>
      <c r="X17" s="303" t="n">
        <v>0.0003773148148148148</v>
      </c>
      <c r="Y17" s="303" t="n">
        <v>0.0003969907407407407</v>
      </c>
      <c r="Z17" s="303" t="n">
        <v>0.0003738425925925926</v>
      </c>
      <c r="AA17" s="303" t="n">
        <v>0.0003935185185185185</v>
      </c>
      <c r="AB17" s="303" t="n">
        <v>0.0003680555555555556</v>
      </c>
      <c r="AC17" s="303" t="n">
        <v>0.0003865740740740741</v>
      </c>
      <c r="AD17" s="303" t="n">
        <v>0.0004254629629629629</v>
      </c>
      <c r="AE17" s="303" t="n">
        <v>0.0004467592592592593</v>
      </c>
      <c r="AF17" s="303" t="n">
        <v>0.0003901620370370371</v>
      </c>
      <c r="AG17" s="303" t="n">
        <v>0.0004097222222222222</v>
      </c>
      <c r="AH17" s="303" t="n">
        <v>0.0003747685185185185</v>
      </c>
      <c r="AI17" s="303" t="n">
        <v>0.0003935185185185185</v>
      </c>
      <c r="AJ17" s="303" t="n">
        <v>0.0003571759259259259</v>
      </c>
      <c r="AK17" s="303" t="n">
        <v>0.000375</v>
      </c>
      <c r="AL17" s="303" t="n">
        <v>0.0003538194444444445</v>
      </c>
      <c r="AM17" s="303" t="n">
        <v>0.0003715277777777778</v>
      </c>
      <c r="AN17" s="303" t="n">
        <v>0.0003460648148148148</v>
      </c>
      <c r="AO17" s="303" t="n">
        <v>0.0003634259259259259</v>
      </c>
      <c r="AP17" s="303" t="n">
        <v>0.000321875</v>
      </c>
      <c r="AQ17" s="303" t="n">
        <v>0.000337962962962963</v>
      </c>
      <c r="AR17" s="303" t="n">
        <v>0.0004189814814814815</v>
      </c>
      <c r="AS17" s="303" t="n">
        <v>0.0004409722222222223</v>
      </c>
      <c r="AT17" s="303" t="n">
        <v>0.0003831018518518519</v>
      </c>
      <c r="AU17" s="303" t="n">
        <v>0.0004027777777777777</v>
      </c>
      <c r="AV17" s="303" t="n">
        <v>0.0003680555555555556</v>
      </c>
      <c r="AW17" s="303" t="n">
        <v>0.0003865740740740741</v>
      </c>
      <c r="AX17" s="303" t="n">
        <v>0.000349537037037037</v>
      </c>
      <c r="AY17" s="303" t="n">
        <v>0.0003680555555555556</v>
      </c>
      <c r="AZ17" s="303" t="n">
        <v>0.0003460648148148148</v>
      </c>
      <c r="BA17" s="303" t="n">
        <v>0.0003645833333333333</v>
      </c>
      <c r="BB17" s="303" t="n">
        <v>0.000337962962962963</v>
      </c>
      <c r="BC17" s="303" t="n">
        <v>0.0003564814814814815</v>
      </c>
      <c r="BD17" s="303" t="n">
        <v>0.0003136574074074074</v>
      </c>
      <c r="BE17" s="303" t="n">
        <v>0.0003298611111111111</v>
      </c>
    </row>
    <row r="18">
      <c r="A18" s="299" t="inlineStr">
        <is>
          <t>100 Back</t>
        </is>
      </c>
      <c r="B18" s="303" t="n">
        <v>0.0008928240740740741</v>
      </c>
      <c r="C18" s="303" t="n">
        <v>0.0009375</v>
      </c>
      <c r="D18" s="303" t="n">
        <v>0.0008465277777777778</v>
      </c>
      <c r="E18" s="303" t="n">
        <v>0.0008888888888888888</v>
      </c>
      <c r="F18" s="303" t="n">
        <v>0.0008211805555555556</v>
      </c>
      <c r="G18" s="303" t="n">
        <v>0.0008622685185185185</v>
      </c>
      <c r="H18" s="303" t="n">
        <v>0.0008113425925925926</v>
      </c>
      <c r="I18" s="303" t="n">
        <v>0.0008518518518518518</v>
      </c>
      <c r="J18" s="303" t="n">
        <v>0.0007947916666666667</v>
      </c>
      <c r="K18" s="303" t="n">
        <v>0.0008344907407407407</v>
      </c>
      <c r="L18" s="303" t="n">
        <v>0.0007804398148148149</v>
      </c>
      <c r="M18" s="303" t="n">
        <v>0.0008194444444444444</v>
      </c>
      <c r="N18" s="303" t="n">
        <v>0.0007770833333333333</v>
      </c>
      <c r="O18" s="303" t="n">
        <v>0.0008159722222222223</v>
      </c>
      <c r="P18" s="303" t="n">
        <v>0.000880787037037037</v>
      </c>
      <c r="Q18" s="303" t="n">
        <v>0.000925925925925926</v>
      </c>
      <c r="R18" s="303" t="n">
        <v>0.0008333333333333334</v>
      </c>
      <c r="S18" s="303" t="n">
        <v>0.0008761574074074074</v>
      </c>
      <c r="T18" s="303" t="n">
        <v>0.0008078703703703704</v>
      </c>
      <c r="U18" s="303" t="n">
        <v>0.0008495370370370371</v>
      </c>
      <c r="V18" s="303" t="n">
        <v>0.0007974537037037038</v>
      </c>
      <c r="W18" s="303" t="n">
        <v>0.0008391203703703704</v>
      </c>
      <c r="X18" s="303" t="n">
        <v>0.00078125</v>
      </c>
      <c r="Y18" s="303" t="n">
        <v>0.0008217592592592593</v>
      </c>
      <c r="Z18" s="303" t="n">
        <v>0.0007662037037037037</v>
      </c>
      <c r="AA18" s="303" t="n">
        <v>0.000806712962962963</v>
      </c>
      <c r="AB18" s="303" t="n">
        <v>0.0007627314814814815</v>
      </c>
      <c r="AC18" s="303" t="n">
        <v>0.0008032407407407408</v>
      </c>
      <c r="AD18" s="303" t="n">
        <v>0.0008989583333333333</v>
      </c>
      <c r="AE18" s="303" t="n">
        <v>0.0009438657407407407</v>
      </c>
      <c r="AF18" s="303" t="n">
        <v>0.0008333333333333334</v>
      </c>
      <c r="AG18" s="303" t="n">
        <v>0.0008749999999999999</v>
      </c>
      <c r="AH18" s="303" t="n">
        <v>0.0007958333333333334</v>
      </c>
      <c r="AI18" s="303" t="n">
        <v>0.0008356481481481482</v>
      </c>
      <c r="AJ18" s="303" t="n">
        <v>0.0007605324074074074</v>
      </c>
      <c r="AK18" s="303" t="n">
        <v>0.0007986111111111112</v>
      </c>
      <c r="AL18" s="303" t="n">
        <v>0.0007495370370370371</v>
      </c>
      <c r="AM18" s="303" t="n">
        <v>0.000787037037037037</v>
      </c>
      <c r="AN18" s="303" t="n">
        <v>0.0007385416666666666</v>
      </c>
      <c r="AO18" s="303" t="n">
        <v>0.0007754629629629629</v>
      </c>
      <c r="AP18" s="303" t="n">
        <v>0.0007098379629629629</v>
      </c>
      <c r="AQ18" s="303" t="n">
        <v>0.0007453703703703704</v>
      </c>
      <c r="AR18" s="303" t="n">
        <v>0.000886574074074074</v>
      </c>
      <c r="AS18" s="303" t="n">
        <v>0.0009328703703703703</v>
      </c>
      <c r="AT18" s="303" t="n">
        <v>0.0008206018518518519</v>
      </c>
      <c r="AU18" s="303" t="n">
        <v>0.0008622685185185185</v>
      </c>
      <c r="AV18" s="303" t="n">
        <v>0.0007824074074074073</v>
      </c>
      <c r="AW18" s="303" t="n">
        <v>0.0008229166666666666</v>
      </c>
      <c r="AX18" s="303" t="n">
        <v>0.0007465277777777778</v>
      </c>
      <c r="AY18" s="303" t="n">
        <v>0.0007847222222222221</v>
      </c>
      <c r="AZ18" s="303" t="n">
        <v>0.0007349537037037037</v>
      </c>
      <c r="BA18" s="303" t="n">
        <v>0.0007731481481481481</v>
      </c>
      <c r="BB18" s="303" t="n">
        <v>0.0007233796296296296</v>
      </c>
      <c r="BC18" s="303" t="n">
        <v>0.000761574074074074</v>
      </c>
      <c r="BD18" s="303" t="n">
        <v>0.0006944444444444445</v>
      </c>
      <c r="BE18" s="303" t="n">
        <v>0.0007303240740740741</v>
      </c>
    </row>
    <row r="19">
      <c r="A19" s="299" t="inlineStr">
        <is>
          <t>200 Back</t>
        </is>
      </c>
      <c r="B19" s="303" t="n">
        <v>0.001889351851851852</v>
      </c>
      <c r="C19" s="303" t="n">
        <v>0.001983796296296296</v>
      </c>
      <c r="D19" s="303" t="n">
        <v>0.001816550925925926</v>
      </c>
      <c r="E19" s="303" t="n">
        <v>0.001907407407407408</v>
      </c>
      <c r="F19" s="303" t="n">
        <v>0.001769212962962963</v>
      </c>
      <c r="G19" s="303" t="n">
        <v>0.001857638888888889</v>
      </c>
      <c r="H19" s="303" t="n">
        <v>0.001749305555555555</v>
      </c>
      <c r="I19" s="303" t="n">
        <v>0.001836805555555556</v>
      </c>
      <c r="J19" s="303" t="n">
        <v>0.001717361111111111</v>
      </c>
      <c r="K19" s="303" t="n">
        <v>0.001803240740740741</v>
      </c>
      <c r="L19" s="303" t="n">
        <v>0.001701967592592593</v>
      </c>
      <c r="M19" s="303" t="n">
        <v>0.001787037037037037</v>
      </c>
      <c r="N19" s="303" t="n">
        <v>0.001682060185185185</v>
      </c>
      <c r="O19" s="303" t="n">
        <v>0.001766203703703704</v>
      </c>
      <c r="P19" s="303" t="n">
        <v>0.001865740740740741</v>
      </c>
      <c r="Q19" s="303" t="n">
        <v>0.001960648148148148</v>
      </c>
      <c r="R19" s="303" t="n">
        <v>0.001791666666666667</v>
      </c>
      <c r="S19" s="303" t="n">
        <v>0.001884259259259259</v>
      </c>
      <c r="T19" s="303" t="n">
        <v>0.001744212962962963</v>
      </c>
      <c r="U19" s="303" t="n">
        <v>0.001833333333333333</v>
      </c>
      <c r="V19" s="303" t="n">
        <v>0.00172337962962963</v>
      </c>
      <c r="W19" s="303" t="n">
        <v>0.0018125</v>
      </c>
      <c r="X19" s="303" t="n">
        <v>0.001690972222222222</v>
      </c>
      <c r="Y19" s="303" t="n">
        <v>0.001777777777777778</v>
      </c>
      <c r="Z19" s="303" t="n">
        <v>0.001675925925925926</v>
      </c>
      <c r="AA19" s="303" t="n">
        <v>0.001761574074074074</v>
      </c>
      <c r="AB19" s="303" t="n">
        <v>0.001655092592592593</v>
      </c>
      <c r="AC19" s="303" t="n">
        <v>0.001740740740740741</v>
      </c>
      <c r="AD19" s="303" t="n">
        <v>0.001891550925925926</v>
      </c>
      <c r="AE19" s="303" t="n">
        <v>0.001986111111111111</v>
      </c>
      <c r="AF19" s="303" t="n">
        <v>0.00178900462962963</v>
      </c>
      <c r="AG19" s="303" t="n">
        <v>0.001878472222222222</v>
      </c>
      <c r="AH19" s="303" t="n">
        <v>0.001705208333333334</v>
      </c>
      <c r="AI19" s="303" t="n">
        <v>0.001790509259259259</v>
      </c>
      <c r="AJ19" s="303" t="n">
        <v>0.001641319444444444</v>
      </c>
      <c r="AK19" s="303" t="n">
        <v>0.00172337962962963</v>
      </c>
      <c r="AL19" s="303" t="n">
        <v>0.001624768518518518</v>
      </c>
      <c r="AM19" s="303" t="n">
        <v>0.001706018518518519</v>
      </c>
      <c r="AN19" s="303" t="n">
        <v>0.001602777777777778</v>
      </c>
      <c r="AO19" s="303" t="n">
        <v>0.00168287037037037</v>
      </c>
      <c r="AP19" s="303" t="n">
        <v>0.001556481481481481</v>
      </c>
      <c r="AQ19" s="303" t="n">
        <v>0.001634259259259259</v>
      </c>
      <c r="AR19" s="303" t="n">
        <v>0.001868055555555556</v>
      </c>
      <c r="AS19" s="303" t="n">
        <v>0.001962962962962963</v>
      </c>
      <c r="AT19" s="303" t="n">
        <v>0.001763888888888889</v>
      </c>
      <c r="AU19" s="303" t="n">
        <v>0.001854166666666667</v>
      </c>
      <c r="AV19" s="303" t="n">
        <v>0.001679398148148148</v>
      </c>
      <c r="AW19" s="303" t="n">
        <v>0.001765046296296296</v>
      </c>
      <c r="AX19" s="303" t="n">
        <v>0.001613425925925926</v>
      </c>
      <c r="AY19" s="303" t="n">
        <v>0.001696759259259259</v>
      </c>
      <c r="AZ19" s="303" t="n">
        <v>0.001597222222222222</v>
      </c>
      <c r="BA19" s="303" t="n">
        <v>0.001679398148148148</v>
      </c>
      <c r="BB19" s="303" t="n">
        <v>0.001575231481481481</v>
      </c>
      <c r="BC19" s="303" t="n">
        <v>0.00165625</v>
      </c>
      <c r="BD19" s="303" t="n">
        <v>0.001527777777777778</v>
      </c>
      <c r="BE19" s="303" t="n">
        <v>0.001606481481481482</v>
      </c>
    </row>
    <row r="20">
      <c r="A20" s="299" t="inlineStr">
        <is>
          <t>200 IM</t>
        </is>
      </c>
      <c r="B20" s="303" t="n">
        <v>0.001906944444444444</v>
      </c>
      <c r="C20" s="303" t="n">
        <v>0.002002314814814815</v>
      </c>
      <c r="D20" s="303" t="n">
        <v>0.00180775462962963</v>
      </c>
      <c r="E20" s="303" t="n">
        <v>0.001898148148148148</v>
      </c>
      <c r="F20" s="303" t="n">
        <v>0.001774652777777778</v>
      </c>
      <c r="G20" s="303" t="n">
        <v>0.001863425925925926</v>
      </c>
      <c r="H20" s="303" t="n">
        <v>0.001763657407407407</v>
      </c>
      <c r="I20" s="303" t="n">
        <v>0.001851851851851852</v>
      </c>
      <c r="J20" s="303" t="n">
        <v>0.001752662037037037</v>
      </c>
      <c r="K20" s="303" t="n">
        <v>0.001840277777777778</v>
      </c>
      <c r="L20" s="303" t="n">
        <v>0.001725115740740741</v>
      </c>
      <c r="M20" s="303" t="n">
        <v>0.001811342592592593</v>
      </c>
      <c r="N20" s="303" t="n">
        <v>0.001697569444444444</v>
      </c>
      <c r="O20" s="303" t="n">
        <v>0.001782407407407407</v>
      </c>
      <c r="P20" s="303" t="n">
        <v>0.001878472222222222</v>
      </c>
      <c r="Q20" s="303" t="n">
        <v>0.001975694444444444</v>
      </c>
      <c r="R20" s="303" t="n">
        <v>0.001777777777777778</v>
      </c>
      <c r="S20" s="303" t="n">
        <v>0.00187037037037037</v>
      </c>
      <c r="T20" s="303" t="n">
        <v>0.001744212962962963</v>
      </c>
      <c r="U20" s="303" t="n">
        <v>0.001834490740740741</v>
      </c>
      <c r="V20" s="303" t="n">
        <v>0.001733796296296296</v>
      </c>
      <c r="W20" s="303" t="n">
        <v>0.001822916666666667</v>
      </c>
      <c r="X20" s="303" t="n">
        <v>0.001722222222222222</v>
      </c>
      <c r="Y20" s="303" t="n">
        <v>0.001811342592592593</v>
      </c>
      <c r="Z20" s="303" t="n">
        <v>0.001694444444444445</v>
      </c>
      <c r="AA20" s="303" t="n">
        <v>0.001782407407407407</v>
      </c>
      <c r="AB20" s="303" t="n">
        <v>0.001666666666666667</v>
      </c>
      <c r="AC20" s="303" t="n">
        <v>0.001752314814814815</v>
      </c>
      <c r="AD20" s="303" t="n">
        <v>0.001884953703703704</v>
      </c>
      <c r="AE20" s="303" t="n">
        <v>0.001979166666666667</v>
      </c>
      <c r="AF20" s="303" t="n">
        <v>0.001785763888888889</v>
      </c>
      <c r="AG20" s="303" t="n">
        <v>0.001875</v>
      </c>
      <c r="AH20" s="303" t="n">
        <v>0.001723958333333333</v>
      </c>
      <c r="AI20" s="303" t="n">
        <v>0.001810185185185185</v>
      </c>
      <c r="AJ20" s="303" t="n">
        <v>0.001653472222222222</v>
      </c>
      <c r="AK20" s="303" t="n">
        <v>0.001736111111111111</v>
      </c>
      <c r="AL20" s="303" t="n">
        <v>0.001631365740740741</v>
      </c>
      <c r="AM20" s="303" t="n">
        <v>0.001712962962962963</v>
      </c>
      <c r="AN20" s="303" t="n">
        <v>0.001591666666666667</v>
      </c>
      <c r="AO20" s="303" t="n">
        <v>0.001671296296296296</v>
      </c>
      <c r="AP20" s="303" t="n">
        <v>0.001527777777777778</v>
      </c>
      <c r="AQ20" s="303" t="n">
        <v>0.001604166666666667</v>
      </c>
      <c r="AR20" s="303" t="n">
        <v>0.001856481481481482</v>
      </c>
      <c r="AS20" s="303" t="n">
        <v>0.001952546296296296</v>
      </c>
      <c r="AT20" s="303" t="n">
        <v>0.001755787037037037</v>
      </c>
      <c r="AU20" s="303" t="n">
        <v>0.001846064814814815</v>
      </c>
      <c r="AV20" s="303" t="n">
        <v>0.001693287037037037</v>
      </c>
      <c r="AW20" s="303" t="n">
        <v>0.00178125</v>
      </c>
      <c r="AX20" s="303" t="n">
        <v>0.001621527777777778</v>
      </c>
      <c r="AY20" s="303" t="n">
        <v>0.001704861111111111</v>
      </c>
      <c r="AZ20" s="303" t="n">
        <v>0.001598379629629629</v>
      </c>
      <c r="BA20" s="303" t="n">
        <v>0.001681712962962963</v>
      </c>
      <c r="BB20" s="303" t="n">
        <v>0.00155787037037037</v>
      </c>
      <c r="BC20" s="303" t="n">
        <v>0.001638888888888889</v>
      </c>
      <c r="BD20" s="303" t="n">
        <v>0.001493055555555556</v>
      </c>
      <c r="BE20" s="303" t="n">
        <v>0.001570601851851852</v>
      </c>
    </row>
    <row r="21">
      <c r="A21" s="299" t="inlineStr">
        <is>
          <t>400 IM</t>
        </is>
      </c>
      <c r="B21" s="303" t="n">
        <v>0.004068518518518518</v>
      </c>
      <c r="C21" s="303" t="n">
        <v>0.004271990740740741</v>
      </c>
      <c r="D21" s="303" t="n">
        <v>0.003833796296296297</v>
      </c>
      <c r="E21" s="303" t="n">
        <v>0.004025462962962963</v>
      </c>
      <c r="F21" s="303" t="n">
        <v>0.003788541666666667</v>
      </c>
      <c r="G21" s="303" t="n">
        <v>0.003978009259259259</v>
      </c>
      <c r="H21" s="303" t="n">
        <v>0.003773148148148148</v>
      </c>
      <c r="I21" s="303" t="n">
        <v>0.003961805555555556</v>
      </c>
      <c r="J21" s="303" t="n">
        <v>0.003651851851851851</v>
      </c>
      <c r="K21" s="303" t="n">
        <v>0.003834490740740741</v>
      </c>
      <c r="L21" s="303" t="n">
        <v>0.003651851851851851</v>
      </c>
      <c r="M21" s="303" t="n">
        <v>0.003834490740740741</v>
      </c>
      <c r="N21" s="303" t="n">
        <v>0.003629861111111111</v>
      </c>
      <c r="O21" s="303" t="n">
        <v>0.003811342592592593</v>
      </c>
      <c r="P21" s="303" t="n">
        <v>0.004010416666666666</v>
      </c>
      <c r="Q21" s="303" t="n">
        <v>0.004216435185185185</v>
      </c>
      <c r="R21" s="303" t="n">
        <v>0.003771990740740741</v>
      </c>
      <c r="S21" s="303" t="n">
        <v>0.003966435185185185</v>
      </c>
      <c r="T21" s="303" t="n">
        <v>0.003725694444444444</v>
      </c>
      <c r="U21" s="303" t="n">
        <v>0.003917824074074074</v>
      </c>
      <c r="V21" s="303" t="n">
        <v>0.003710648148148148</v>
      </c>
      <c r="W21" s="303" t="n">
        <v>0.003901620370370371</v>
      </c>
      <c r="X21" s="303" t="n">
        <v>0.003586805555555555</v>
      </c>
      <c r="Y21" s="303" t="n">
        <v>0.003773148148148148</v>
      </c>
      <c r="Z21" s="303" t="n">
        <v>0.003586805555555555</v>
      </c>
      <c r="AA21" s="303" t="n">
        <v>0.003773148148148148</v>
      </c>
      <c r="AB21" s="303" t="n">
        <v>0.003564814814814815</v>
      </c>
      <c r="AC21" s="303" t="n">
        <v>0.003748842592592592</v>
      </c>
      <c r="AD21" s="303" t="n">
        <v>0.004034375</v>
      </c>
      <c r="AE21" s="303" t="n">
        <v>0.004236111111111112</v>
      </c>
      <c r="AF21" s="303" t="n">
        <v>0.003849189814814815</v>
      </c>
      <c r="AG21" s="303" t="n">
        <v>0.004041666666666666</v>
      </c>
      <c r="AH21" s="303" t="n">
        <v>0.003643055555555556</v>
      </c>
      <c r="AI21" s="303" t="n">
        <v>0.003825231481481482</v>
      </c>
      <c r="AJ21" s="303" t="n">
        <v>0.003527314814814815</v>
      </c>
      <c r="AK21" s="303" t="n">
        <v>0.003703703703703704</v>
      </c>
      <c r="AL21" s="303" t="n">
        <v>0.003486574074074074</v>
      </c>
      <c r="AM21" s="303" t="n">
        <v>0.00366087962962963</v>
      </c>
      <c r="AN21" s="303" t="n">
        <v>0.003482175925925926</v>
      </c>
      <c r="AO21" s="303" t="n">
        <v>0.00365625</v>
      </c>
      <c r="AP21" s="303" t="n">
        <v>0.003289236111111111</v>
      </c>
      <c r="AQ21" s="303" t="n">
        <v>0.003453703703703704</v>
      </c>
      <c r="AR21" s="303" t="n">
        <v>0.003975694444444444</v>
      </c>
      <c r="AS21" s="303" t="n">
        <v>0.004180555555555555</v>
      </c>
      <c r="AT21" s="303" t="n">
        <v>0.003787037037037037</v>
      </c>
      <c r="AU21" s="303" t="n">
        <v>0.003982638888888889</v>
      </c>
      <c r="AV21" s="303" t="n">
        <v>0.003577546296296297</v>
      </c>
      <c r="AW21" s="303" t="n">
        <v>0.003762731481481482</v>
      </c>
      <c r="AX21" s="303" t="n">
        <v>0.00345949074074074</v>
      </c>
      <c r="AY21" s="303" t="n">
        <v>0.003640046296296296</v>
      </c>
      <c r="AZ21" s="303" t="n">
        <v>0.003418981481481481</v>
      </c>
      <c r="BA21" s="303" t="n">
        <v>0.003596064814814815</v>
      </c>
      <c r="BB21" s="303" t="n">
        <v>0.003414351851851852</v>
      </c>
      <c r="BC21" s="303" t="n">
        <v>0.003591435185185185</v>
      </c>
      <c r="BD21" s="303" t="n">
        <v>0.003217592592592593</v>
      </c>
      <c r="BE21" s="303" t="n">
        <v>0.003385416666666667</v>
      </c>
    </row>
  </sheetData>
  <mergeCells count="32">
    <mergeCell ref="AD3:AE3"/>
    <mergeCell ref="AF3:AG3"/>
    <mergeCell ref="AH3:AI3"/>
    <mergeCell ref="AN3:AO3"/>
    <mergeCell ref="B3:C3"/>
    <mergeCell ref="AP3:AQ3"/>
    <mergeCell ref="BB3:BC3"/>
    <mergeCell ref="F3:G3"/>
    <mergeCell ref="L3:M3"/>
    <mergeCell ref="AT3:AU3"/>
    <mergeCell ref="BD3:BE3"/>
    <mergeCell ref="N3:O3"/>
    <mergeCell ref="AV3:AW3"/>
    <mergeCell ref="B2:O2"/>
    <mergeCell ref="P2:AC2"/>
    <mergeCell ref="X3:Y3"/>
    <mergeCell ref="Z3:AA3"/>
    <mergeCell ref="AJ3:AK3"/>
    <mergeCell ref="AL3:AM3"/>
    <mergeCell ref="R3:S3"/>
    <mergeCell ref="AD2:AQ2"/>
    <mergeCell ref="D3:E3"/>
    <mergeCell ref="H3:I3"/>
    <mergeCell ref="J3:K3"/>
    <mergeCell ref="P3:Q3"/>
    <mergeCell ref="AX3:AY3"/>
    <mergeCell ref="AZ3:BA3"/>
    <mergeCell ref="AR2:BE2"/>
    <mergeCell ref="AR3:AS3"/>
    <mergeCell ref="T3:U3"/>
    <mergeCell ref="V3:W3"/>
    <mergeCell ref="AB3:AC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5"/>
  <sheetViews>
    <sheetView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224" min="2" max="2"/>
    <col width="14" customWidth="1" style="224" min="3" max="3"/>
    <col width="9" customWidth="1" style="224" min="4" max="4"/>
    <col width="9" customWidth="1" style="224" min="5" max="5"/>
    <col width="9" customWidth="1" style="224" min="6" max="6"/>
    <col width="9" customWidth="1" style="224" min="7" max="7"/>
    <col width="11" customWidth="1" style="224" min="8" max="8"/>
    <col width="9" customWidth="1" style="224" min="9" max="9"/>
    <col width="9" customWidth="1" style="224" min="10" max="10"/>
    <col width="9" customWidth="1" style="224" min="11" max="11"/>
    <col width="11" customWidth="1" style="224" min="12" max="12"/>
  </cols>
  <sheetData>
    <row r="2">
      <c r="B2" s="272" t="inlineStr">
        <is>
          <t>Meet Planner 2026 — Add upcoming meets and track qualifying targets</t>
        </is>
      </c>
    </row>
    <row r="3">
      <c r="B3" s="273" t="inlineStr">
        <is>
          <t>Enter meet details in the grey rows. Green = qualifies, Amber = consideration, Red = gap to close.</t>
        </is>
      </c>
    </row>
    <row r="5">
      <c r="B5" s="274" t="inlineStr">
        <is>
          <t>Meet Name</t>
        </is>
      </c>
      <c r="C5" s="274" t="inlineStr">
        <is>
          <t>Date</t>
        </is>
      </c>
      <c r="D5" s="274" t="inlineStr">
        <is>
          <t>Cse</t>
        </is>
      </c>
      <c r="E5" s="274" t="inlineStr">
        <is>
          <t>Level</t>
        </is>
      </c>
    </row>
    <row r="6">
      <c r="B6" s="275" t="inlineStr">
        <is>
          <t>— add meet name —</t>
        </is>
      </c>
      <c r="C6" s="295" t="inlineStr"/>
      <c r="D6" s="295" t="inlineStr">
        <is>
          <t>S</t>
        </is>
      </c>
      <c r="E6" s="295" t="inlineStr">
        <is>
          <t>Club</t>
        </is>
      </c>
    </row>
    <row r="7">
      <c r="B7" s="275" t="inlineStr">
        <is>
          <t>— add meet name —</t>
        </is>
      </c>
      <c r="C7" s="295" t="inlineStr"/>
      <c r="D7" s="295" t="inlineStr">
        <is>
          <t>L</t>
        </is>
      </c>
      <c r="E7" s="295" t="inlineStr">
        <is>
          <t>County</t>
        </is>
      </c>
    </row>
    <row r="8">
      <c r="B8" s="275" t="inlineStr">
        <is>
          <t>— add meet name —</t>
        </is>
      </c>
      <c r="C8" s="295" t="inlineStr"/>
      <c r="D8" s="295" t="inlineStr">
        <is>
          <t>S</t>
        </is>
      </c>
      <c r="E8" s="295" t="inlineStr">
        <is>
          <t>Regional</t>
        </is>
      </c>
    </row>
    <row r="11">
      <c r="B11" s="277" t="inlineStr">
        <is>
          <t>Current Qualifying Status — Reference</t>
        </is>
      </c>
    </row>
    <row r="12">
      <c r="B12" s="270" t="inlineStr">
        <is>
          <t>Q — Qualifies</t>
        </is>
      </c>
      <c r="C12" s="267" t="inlineStr">
        <is>
          <t>C — Consideration</t>
        </is>
      </c>
      <c r="D12" s="278" t="inlineStr">
        <is>
          <t>&lt;3s — Close</t>
        </is>
      </c>
      <c r="E12" s="279" t="inlineStr">
        <is>
          <t>— Not yet</t>
        </is>
      </c>
    </row>
    <row r="13" ht="24" customHeight="1" s="224">
      <c r="B13" s="257" t="inlineStr">
        <is>
          <t>Cse</t>
        </is>
      </c>
      <c r="C13" s="257" t="inlineStr">
        <is>
          <t>Event</t>
        </is>
      </c>
      <c r="D13" s="257" t="inlineStr">
        <is>
          <t>PB</t>
        </is>
      </c>
      <c r="E13" s="257" t="inlineStr">
        <is>
          <t>Cty QT</t>
        </is>
      </c>
      <c r="F13" s="257" t="inlineStr">
        <is>
          <t>Cty Cons</t>
        </is>
      </c>
      <c r="G13" s="257" t="inlineStr">
        <is>
          <t>Status</t>
        </is>
      </c>
      <c r="H13" s="257" t="inlineStr">
        <is>
          <t>Gap to Cty Cons</t>
        </is>
      </c>
      <c r="I13" s="257" t="inlineStr">
        <is>
          <t>Reg QT</t>
        </is>
      </c>
      <c r="J13" s="257" t="inlineStr">
        <is>
          <t>Reg Cons</t>
        </is>
      </c>
      <c r="K13" s="257" t="inlineStr">
        <is>
          <t>Reg Status</t>
        </is>
      </c>
      <c r="L13" s="257" t="inlineStr">
        <is>
          <t>Gap to Reg Cons</t>
        </is>
      </c>
    </row>
    <row r="14">
      <c r="B14" s="280" t="inlineStr">
        <is>
          <t>S</t>
        </is>
      </c>
      <c r="C14" s="281" t="inlineStr">
        <is>
          <t>50 Free</t>
        </is>
      </c>
      <c r="D14" s="282" t="n">
        <v>0.0003996527777777778</v>
      </c>
      <c r="E14" s="283" t="n">
        <v>0.0003738425925925926</v>
      </c>
      <c r="F14" s="283" t="n">
        <v>0.0003958333333333334</v>
      </c>
      <c r="G14" s="284" t="inlineStr">
        <is>
          <t>+0.33s</t>
        </is>
      </c>
      <c r="H14" s="285" t="inlineStr">
        <is>
          <t>+0.33s</t>
        </is>
      </c>
      <c r="I14" s="264" t="n">
        <v>0.0003460648148148148</v>
      </c>
      <c r="J14" s="264" t="n">
        <v>0.0003634259259259259</v>
      </c>
      <c r="K14" s="279" t="inlineStr">
        <is>
          <t>—</t>
        </is>
      </c>
      <c r="L14" s="265" t="inlineStr">
        <is>
          <t>+3.13s</t>
        </is>
      </c>
    </row>
    <row r="15">
      <c r="B15" s="286" t="inlineStr">
        <is>
          <t>S</t>
        </is>
      </c>
      <c r="C15" s="287" t="inlineStr">
        <is>
          <t>100 Free</t>
        </is>
      </c>
      <c r="D15" s="288" t="n">
        <v>0.0008821759259259259</v>
      </c>
      <c r="E15" s="266" t="n">
        <v>0.000832175925925926</v>
      </c>
      <c r="F15" s="266" t="n">
        <v>0.0009027777777777777</v>
      </c>
      <c r="G15" s="267" t="inlineStr">
        <is>
          <t>C</t>
        </is>
      </c>
      <c r="H15" s="268" t="inlineStr">
        <is>
          <t>✓</t>
        </is>
      </c>
      <c r="I15" s="264" t="n">
        <v>0.0007685185185185185</v>
      </c>
      <c r="J15" s="264" t="n">
        <v>0.0008078703703703704</v>
      </c>
      <c r="K15" s="279" t="inlineStr">
        <is>
          <t>—</t>
        </is>
      </c>
      <c r="L15" s="265" t="inlineStr">
        <is>
          <t>+6.42s</t>
        </is>
      </c>
    </row>
    <row r="16">
      <c r="B16" s="286" t="inlineStr">
        <is>
          <t>S</t>
        </is>
      </c>
      <c r="C16" s="287" t="inlineStr">
        <is>
          <t>200 Free</t>
        </is>
      </c>
      <c r="D16" s="288" t="n">
        <v>0.001940277777777778</v>
      </c>
      <c r="E16" s="266" t="n">
        <v>0.001829861111111111</v>
      </c>
      <c r="F16" s="266" t="n">
        <v>0.001974537037037037</v>
      </c>
      <c r="G16" s="267" t="inlineStr">
        <is>
          <t>C</t>
        </is>
      </c>
      <c r="H16" s="268" t="inlineStr">
        <is>
          <t>✓</t>
        </is>
      </c>
      <c r="I16" s="264" t="n">
        <v>0.001642361111111111</v>
      </c>
      <c r="J16" s="264" t="n">
        <v>0.001726851851851852</v>
      </c>
      <c r="K16" s="279" t="inlineStr">
        <is>
          <t>—</t>
        </is>
      </c>
      <c r="L16" s="265" t="inlineStr">
        <is>
          <t>+18.44s</t>
        </is>
      </c>
    </row>
    <row r="17">
      <c r="B17" s="280" t="inlineStr">
        <is>
          <t>S</t>
        </is>
      </c>
      <c r="C17" s="281" t="inlineStr">
        <is>
          <t>400 Free</t>
        </is>
      </c>
      <c r="D17" s="282" t="n">
        <v>0.003983912037037037</v>
      </c>
      <c r="E17" s="283" t="n">
        <v>0.003886574074074074</v>
      </c>
      <c r="F17" s="283" t="n">
        <v>0.003966435185185185</v>
      </c>
      <c r="G17" s="284" t="inlineStr">
        <is>
          <t>+1.51s</t>
        </is>
      </c>
      <c r="H17" s="285" t="inlineStr">
        <is>
          <t>+1.51s</t>
        </is>
      </c>
      <c r="I17" s="264" t="n">
        <v>0.003487268518518518</v>
      </c>
      <c r="J17" s="264" t="n">
        <v>0.003666666666666667</v>
      </c>
      <c r="K17" s="279" t="inlineStr">
        <is>
          <t>—</t>
        </is>
      </c>
      <c r="L17" s="265" t="inlineStr">
        <is>
          <t>+27.41s</t>
        </is>
      </c>
    </row>
    <row r="18">
      <c r="B18" s="289" t="inlineStr">
        <is>
          <t>S</t>
        </is>
      </c>
      <c r="C18" s="290" t="inlineStr">
        <is>
          <t>800 Free</t>
        </is>
      </c>
      <c r="D18" s="291" t="n">
        <v>0.008078703703703704</v>
      </c>
      <c r="E18" s="269" t="n">
        <v>0.008622685185185185</v>
      </c>
      <c r="F18" s="269" t="n">
        <v>0.009150462962962963</v>
      </c>
      <c r="G18" s="270" t="inlineStr">
        <is>
          <t>Q</t>
        </is>
      </c>
      <c r="H18" s="271" t="inlineStr">
        <is>
          <t>✓</t>
        </is>
      </c>
      <c r="I18" s="264" t="n">
        <v>0.007033564814814815</v>
      </c>
      <c r="J18" s="264" t="n">
        <v>0.007395833333333333</v>
      </c>
      <c r="K18" s="279" t="inlineStr">
        <is>
          <t>—</t>
        </is>
      </c>
      <c r="L18" s="265" t="inlineStr">
        <is>
          <t>+59.00s</t>
        </is>
      </c>
    </row>
    <row r="19">
      <c r="B19" s="258" t="inlineStr">
        <is>
          <t>S</t>
        </is>
      </c>
      <c r="C19" s="259" t="inlineStr">
        <is>
          <t>1500 Free</t>
        </is>
      </c>
      <c r="D19" s="260" t="inlineStr">
        <is>
          <t>-</t>
        </is>
      </c>
      <c r="E19" s="264" t="n">
        <v>0.01403356481481481</v>
      </c>
      <c r="F19" s="264" t="n">
        <v>0.01431712962962963</v>
      </c>
      <c r="G19" s="279" t="inlineStr">
        <is>
          <t>—</t>
        </is>
      </c>
      <c r="H19" s="265" t="inlineStr">
        <is>
          <t>—</t>
        </is>
      </c>
      <c r="I19" s="264" t="n">
        <v>0.01368865740740741</v>
      </c>
      <c r="J19" s="264" t="n">
        <v>0.01439236111111111</v>
      </c>
      <c r="K19" s="279" t="inlineStr">
        <is>
          <t>—</t>
        </is>
      </c>
      <c r="L19" s="265" t="inlineStr">
        <is>
          <t>—</t>
        </is>
      </c>
    </row>
    <row r="20">
      <c r="B20" s="289" t="inlineStr">
        <is>
          <t>S</t>
        </is>
      </c>
      <c r="C20" s="290" t="inlineStr">
        <is>
          <t>50 Back</t>
        </is>
      </c>
      <c r="D20" s="291" t="n">
        <v>0.0004322916666666667</v>
      </c>
      <c r="E20" s="269" t="n">
        <v>0.0004421296296296297</v>
      </c>
      <c r="F20" s="269" t="n">
        <v>0.0004722222222222222</v>
      </c>
      <c r="G20" s="270" t="inlineStr">
        <is>
          <t>Q</t>
        </is>
      </c>
      <c r="H20" s="271" t="inlineStr">
        <is>
          <t>✓</t>
        </is>
      </c>
      <c r="I20" s="264" t="n">
        <v>0.0004074074074074074</v>
      </c>
      <c r="J20" s="264" t="n">
        <v>0.0004293981481481482</v>
      </c>
      <c r="K20" s="279" t="inlineStr">
        <is>
          <t>—</t>
        </is>
      </c>
      <c r="L20" s="265" t="inlineStr">
        <is>
          <t>+0.25s</t>
        </is>
      </c>
    </row>
    <row r="21">
      <c r="B21" s="289" t="inlineStr">
        <is>
          <t>S</t>
        </is>
      </c>
      <c r="C21" s="290" t="inlineStr">
        <is>
          <t>100 Back</t>
        </is>
      </c>
      <c r="D21" s="291" t="n">
        <v>0.0009351851851851852</v>
      </c>
      <c r="E21" s="269" t="n">
        <v>0.0009710648148148149</v>
      </c>
      <c r="F21" s="269" t="n">
        <v>0.001030092592592593</v>
      </c>
      <c r="G21" s="270" t="inlineStr">
        <is>
          <t>Q</t>
        </is>
      </c>
      <c r="H21" s="271" t="inlineStr">
        <is>
          <t>✓</t>
        </is>
      </c>
      <c r="I21" s="264" t="n">
        <v>0.000880787037037037</v>
      </c>
      <c r="J21" s="264" t="n">
        <v>0.000925925925925926</v>
      </c>
      <c r="K21" s="279" t="inlineStr">
        <is>
          <t>—</t>
        </is>
      </c>
      <c r="L21" s="265" t="inlineStr">
        <is>
          <t>+0.80s</t>
        </is>
      </c>
    </row>
    <row r="22">
      <c r="B22" s="289" t="inlineStr">
        <is>
          <t>S</t>
        </is>
      </c>
      <c r="C22" s="290" t="inlineStr">
        <is>
          <t>200 Back</t>
        </is>
      </c>
      <c r="D22" s="291" t="n">
        <v>0.002012962962962963</v>
      </c>
      <c r="E22" s="269" t="n">
        <v>0.002096064814814815</v>
      </c>
      <c r="F22" s="269" t="n">
        <v>0.002197916666666667</v>
      </c>
      <c r="G22" s="270" t="inlineStr">
        <is>
          <t>Q</t>
        </is>
      </c>
      <c r="H22" s="271" t="inlineStr">
        <is>
          <t>✓</t>
        </is>
      </c>
      <c r="I22" s="264" t="n">
        <v>0.001865740740740741</v>
      </c>
      <c r="J22" s="264" t="n">
        <v>0.001960648148148148</v>
      </c>
      <c r="K22" s="279" t="inlineStr">
        <is>
          <t>—</t>
        </is>
      </c>
      <c r="L22" s="265" t="inlineStr">
        <is>
          <t>+4.52s</t>
        </is>
      </c>
    </row>
    <row r="23">
      <c r="B23" s="280" t="inlineStr">
        <is>
          <t>S</t>
        </is>
      </c>
      <c r="C23" s="281" t="inlineStr">
        <is>
          <t>50 Breast</t>
        </is>
      </c>
      <c r="D23" s="282" t="n">
        <v>0.0005456018518518519</v>
      </c>
      <c r="E23" s="283" t="n">
        <v>0.0004930555555555556</v>
      </c>
      <c r="F23" s="283" t="n">
        <v>0.0005358796296296296</v>
      </c>
      <c r="G23" s="284" t="inlineStr">
        <is>
          <t>+0.84s</t>
        </is>
      </c>
      <c r="H23" s="285" t="inlineStr">
        <is>
          <t>+0.84s</t>
        </is>
      </c>
      <c r="I23" s="264" t="n">
        <v>0.0004583333333333333</v>
      </c>
      <c r="J23" s="264" t="n">
        <v>0.0004814814814814815</v>
      </c>
      <c r="K23" s="279" t="inlineStr">
        <is>
          <t>—</t>
        </is>
      </c>
      <c r="L23" s="265" t="inlineStr">
        <is>
          <t>+5.54s</t>
        </is>
      </c>
    </row>
    <row r="24">
      <c r="B24" s="258" t="inlineStr">
        <is>
          <t>S</t>
        </is>
      </c>
      <c r="C24" s="259" t="inlineStr">
        <is>
          <t>100 Breast</t>
        </is>
      </c>
      <c r="D24" s="260" t="n">
        <v>0.001230555555555555</v>
      </c>
      <c r="E24" s="264" t="n">
        <v>0.001105324074074074</v>
      </c>
      <c r="F24" s="264" t="n">
        <v>0.001184027777777778</v>
      </c>
      <c r="G24" s="279" t="inlineStr">
        <is>
          <t>+4.02s</t>
        </is>
      </c>
      <c r="H24" s="265" t="inlineStr">
        <is>
          <t>+4.02s</t>
        </is>
      </c>
      <c r="I24" s="264" t="n">
        <v>0.001023148148148148</v>
      </c>
      <c r="J24" s="264" t="n">
        <v>0.001076388888888889</v>
      </c>
      <c r="K24" s="279" t="inlineStr">
        <is>
          <t>—</t>
        </is>
      </c>
      <c r="L24" s="265" t="inlineStr">
        <is>
          <t>+13.32s</t>
        </is>
      </c>
    </row>
    <row r="25">
      <c r="B25" s="258" t="inlineStr">
        <is>
          <t>S</t>
        </is>
      </c>
      <c r="C25" s="259" t="inlineStr">
        <is>
          <t>200 Breast</t>
        </is>
      </c>
      <c r="D25" s="260" t="inlineStr">
        <is>
          <t>-</t>
        </is>
      </c>
      <c r="E25" s="264" t="n">
        <v>0.002383101851851852</v>
      </c>
      <c r="F25" s="264" t="n">
        <v>0.002541666666666666</v>
      </c>
      <c r="G25" s="279" t="inlineStr">
        <is>
          <t>—</t>
        </is>
      </c>
      <c r="H25" s="265" t="inlineStr">
        <is>
          <t>—</t>
        </is>
      </c>
      <c r="I25" s="264" t="n">
        <v>0.0021875</v>
      </c>
      <c r="J25" s="264" t="n">
        <v>0.002300925925925926</v>
      </c>
      <c r="K25" s="279" t="inlineStr">
        <is>
          <t>—</t>
        </is>
      </c>
      <c r="L25" s="265" t="inlineStr">
        <is>
          <t>—</t>
        </is>
      </c>
    </row>
    <row r="26">
      <c r="B26" s="286" t="inlineStr">
        <is>
          <t>S</t>
        </is>
      </c>
      <c r="C26" s="287" t="inlineStr">
        <is>
          <t>50 Fly</t>
        </is>
      </c>
      <c r="D26" s="288" t="n">
        <v>0.0004188657407407407</v>
      </c>
      <c r="E26" s="266" t="n">
        <v>0.0004178240740740741</v>
      </c>
      <c r="F26" s="266" t="n">
        <v>0.0004664351851851851</v>
      </c>
      <c r="G26" s="267" t="inlineStr">
        <is>
          <t>C</t>
        </is>
      </c>
      <c r="H26" s="268" t="inlineStr">
        <is>
          <t>✓</t>
        </is>
      </c>
      <c r="I26" s="264" t="n">
        <v>0.0003877314814814815</v>
      </c>
      <c r="J26" s="264" t="n">
        <v>0.0004085648148148148</v>
      </c>
      <c r="K26" s="279" t="inlineStr">
        <is>
          <t>—</t>
        </is>
      </c>
      <c r="L26" s="265" t="inlineStr">
        <is>
          <t>+0.89s</t>
        </is>
      </c>
    </row>
    <row r="27">
      <c r="B27" s="289" t="inlineStr">
        <is>
          <t>S</t>
        </is>
      </c>
      <c r="C27" s="290" t="inlineStr">
        <is>
          <t>100 Fly</t>
        </is>
      </c>
      <c r="D27" s="291" t="n">
        <v>0.0009641203703703704</v>
      </c>
      <c r="E27" s="269" t="n">
        <v>0.001002314814814815</v>
      </c>
      <c r="F27" s="269" t="n">
        <v>0.001152777777777778</v>
      </c>
      <c r="G27" s="270" t="inlineStr">
        <is>
          <t>Q</t>
        </is>
      </c>
      <c r="H27" s="271" t="inlineStr">
        <is>
          <t>✓</t>
        </is>
      </c>
      <c r="I27" s="264" t="n">
        <v>0.0008958333333333334</v>
      </c>
      <c r="J27" s="264" t="n">
        <v>0.0009421296296296297</v>
      </c>
      <c r="K27" s="279" t="inlineStr">
        <is>
          <t>—</t>
        </is>
      </c>
      <c r="L27" s="265" t="inlineStr">
        <is>
          <t>+1.90s</t>
        </is>
      </c>
    </row>
    <row r="28">
      <c r="B28" s="289" t="inlineStr">
        <is>
          <t>S</t>
        </is>
      </c>
      <c r="C28" s="290" t="inlineStr">
        <is>
          <t>200 Fly</t>
        </is>
      </c>
      <c r="D28" s="291" t="n">
        <v>0.002209953703703704</v>
      </c>
      <c r="E28" s="269" t="n">
        <v>0.002603009259259259</v>
      </c>
      <c r="F28" s="269" t="n">
        <v>0.0030625</v>
      </c>
      <c r="G28" s="270" t="inlineStr">
        <is>
          <t>Q</t>
        </is>
      </c>
      <c r="H28" s="271" t="inlineStr">
        <is>
          <t>✓</t>
        </is>
      </c>
      <c r="I28" s="264" t="n">
        <v>0.002099537037037037</v>
      </c>
      <c r="J28" s="264" t="n">
        <v>0.002206018518518519</v>
      </c>
      <c r="K28" s="279" t="inlineStr">
        <is>
          <t>—</t>
        </is>
      </c>
      <c r="L28" s="265" t="inlineStr">
        <is>
          <t>+0.34s</t>
        </is>
      </c>
    </row>
    <row r="29">
      <c r="B29" s="286" t="inlineStr">
        <is>
          <t>S</t>
        </is>
      </c>
      <c r="C29" s="287" t="inlineStr">
        <is>
          <t>200 IM</t>
        </is>
      </c>
      <c r="D29" s="288" t="n">
        <v>0.002119097222222222</v>
      </c>
      <c r="E29" s="266" t="n">
        <v>0.002076388888888889</v>
      </c>
      <c r="F29" s="266" t="n">
        <v>0.002210648148148148</v>
      </c>
      <c r="G29" s="267" t="inlineStr">
        <is>
          <t>C</t>
        </is>
      </c>
      <c r="H29" s="268" t="inlineStr">
        <is>
          <t>✓</t>
        </is>
      </c>
      <c r="I29" s="264" t="n">
        <v>0.001878472222222222</v>
      </c>
      <c r="J29" s="264" t="n">
        <v>0.001975694444444444</v>
      </c>
      <c r="K29" s="279" t="inlineStr">
        <is>
          <t>—</t>
        </is>
      </c>
      <c r="L29" s="265" t="inlineStr">
        <is>
          <t>+12.39s</t>
        </is>
      </c>
    </row>
    <row r="30">
      <c r="B30" s="286" t="inlineStr">
        <is>
          <t>L</t>
        </is>
      </c>
      <c r="C30" s="287" t="inlineStr">
        <is>
          <t>50 Free</t>
        </is>
      </c>
      <c r="D30" s="288" t="n">
        <v>0.0004030092592592593</v>
      </c>
      <c r="E30" s="266" t="n">
        <v>0.0003809027777777777</v>
      </c>
      <c r="F30" s="266" t="n">
        <v>0.0004032407407407408</v>
      </c>
      <c r="G30" s="267" t="inlineStr">
        <is>
          <t>C</t>
        </is>
      </c>
      <c r="H30" s="268" t="inlineStr">
        <is>
          <t>✓</t>
        </is>
      </c>
      <c r="I30" s="264" t="n">
        <v>0.0003538194444444445</v>
      </c>
      <c r="J30" s="264" t="n">
        <v>0.0003715277777777778</v>
      </c>
      <c r="K30" s="279" t="inlineStr">
        <is>
          <t>—</t>
        </is>
      </c>
      <c r="L30" s="265" t="inlineStr">
        <is>
          <t>+2.72s</t>
        </is>
      </c>
    </row>
    <row r="31">
      <c r="B31" s="286" t="inlineStr">
        <is>
          <t>L</t>
        </is>
      </c>
      <c r="C31" s="287" t="inlineStr">
        <is>
          <t>100 Free</t>
        </is>
      </c>
      <c r="D31" s="288" t="n">
        <v>0.0009133101851851852</v>
      </c>
      <c r="E31" s="266" t="n">
        <v>0.0008460648148148148</v>
      </c>
      <c r="F31" s="266" t="n">
        <v>0.0009155092592592591</v>
      </c>
      <c r="G31" s="267" t="inlineStr">
        <is>
          <t>C</t>
        </is>
      </c>
      <c r="H31" s="268" t="inlineStr">
        <is>
          <t>✓</t>
        </is>
      </c>
      <c r="I31" s="264" t="n">
        <v>0.0007826388888888889</v>
      </c>
      <c r="J31" s="264" t="n">
        <v>0.0008217592592592593</v>
      </c>
      <c r="K31" s="279" t="inlineStr">
        <is>
          <t>—</t>
        </is>
      </c>
      <c r="L31" s="265" t="inlineStr">
        <is>
          <t>+7.91s</t>
        </is>
      </c>
    </row>
    <row r="32">
      <c r="B32" s="286" t="inlineStr">
        <is>
          <t>L</t>
        </is>
      </c>
      <c r="C32" s="287" t="inlineStr">
        <is>
          <t>200 Free</t>
        </is>
      </c>
      <c r="D32" s="288" t="n">
        <v>0.001982060185185185</v>
      </c>
      <c r="E32" s="266" t="n">
        <v>0.001855324074074074</v>
      </c>
      <c r="F32" s="266" t="n">
        <v>0.001997685185185185</v>
      </c>
      <c r="G32" s="267" t="inlineStr">
        <is>
          <t>C</t>
        </is>
      </c>
      <c r="H32" s="268" t="inlineStr">
        <is>
          <t>✓</t>
        </is>
      </c>
      <c r="I32" s="264" t="n">
        <v>0.001670023148148148</v>
      </c>
      <c r="J32" s="264" t="n">
        <v>0.001753472222222222</v>
      </c>
      <c r="K32" s="279" t="inlineStr">
        <is>
          <t>—</t>
        </is>
      </c>
      <c r="L32" s="265" t="inlineStr">
        <is>
          <t>+19.75s</t>
        </is>
      </c>
    </row>
    <row r="33">
      <c r="B33" s="258" t="inlineStr">
        <is>
          <t>L</t>
        </is>
      </c>
      <c r="C33" s="259" t="inlineStr">
        <is>
          <t>400 Free</t>
        </is>
      </c>
      <c r="D33" s="260" t="n">
        <v>0.004314004629629629</v>
      </c>
      <c r="E33" s="264" t="n">
        <v>0.003935185185185185</v>
      </c>
      <c r="F33" s="264" t="n">
        <v>0.003966435185185185</v>
      </c>
      <c r="G33" s="279" t="inlineStr">
        <is>
          <t>+30.03s</t>
        </is>
      </c>
      <c r="H33" s="265" t="inlineStr">
        <is>
          <t>+30.03s</t>
        </is>
      </c>
      <c r="I33" s="264" t="n">
        <v>0.003540509259259259</v>
      </c>
      <c r="J33" s="264" t="n">
        <v>0.003717592592592593</v>
      </c>
      <c r="K33" s="279" t="inlineStr">
        <is>
          <t>—</t>
        </is>
      </c>
      <c r="L33" s="265" t="inlineStr">
        <is>
          <t>+51.53s</t>
        </is>
      </c>
    </row>
    <row r="34">
      <c r="B34" s="289" t="inlineStr">
        <is>
          <t>L</t>
        </is>
      </c>
      <c r="C34" s="290" t="inlineStr">
        <is>
          <t>800 Free</t>
        </is>
      </c>
      <c r="D34" s="291" t="n">
        <v>0.008239120370370371</v>
      </c>
      <c r="E34" s="269" t="n">
        <v>0.008711805555555556</v>
      </c>
      <c r="F34" s="269" t="n">
        <v>0.009234953703703704</v>
      </c>
      <c r="G34" s="270" t="inlineStr">
        <is>
          <t>Q</t>
        </is>
      </c>
      <c r="H34" s="271" t="inlineStr">
        <is>
          <t>✓</t>
        </is>
      </c>
      <c r="I34" s="264" t="n">
        <v>0.007142824074074074</v>
      </c>
      <c r="J34" s="264" t="n">
        <v>0.0075</v>
      </c>
      <c r="K34" s="279" t="inlineStr">
        <is>
          <t>—</t>
        </is>
      </c>
      <c r="L34" s="265" t="inlineStr">
        <is>
          <t>+1:3.9s</t>
        </is>
      </c>
    </row>
    <row r="35">
      <c r="B35" s="258" t="inlineStr">
        <is>
          <t>L</t>
        </is>
      </c>
      <c r="C35" s="259" t="inlineStr">
        <is>
          <t>1500 Free</t>
        </is>
      </c>
      <c r="D35" s="260" t="inlineStr">
        <is>
          <t>-</t>
        </is>
      </c>
      <c r="E35" s="264" t="n">
        <v>0.01422916666666667</v>
      </c>
      <c r="F35" s="264" t="n">
        <v>0.01450925925925926</v>
      </c>
      <c r="G35" s="279" t="inlineStr">
        <is>
          <t>—</t>
        </is>
      </c>
      <c r="H35" s="265" t="inlineStr">
        <is>
          <t>—</t>
        </is>
      </c>
      <c r="I35" s="264" t="n">
        <v>0.01388888888888889</v>
      </c>
      <c r="J35" s="264" t="n">
        <v>0.01458333333333333</v>
      </c>
      <c r="K35" s="279" t="inlineStr">
        <is>
          <t>—</t>
        </is>
      </c>
      <c r="L35" s="265" t="inlineStr">
        <is>
          <t>—</t>
        </is>
      </c>
    </row>
    <row r="36">
      <c r="B36" s="289" t="inlineStr">
        <is>
          <t>L</t>
        </is>
      </c>
      <c r="C36" s="290" t="inlineStr">
        <is>
          <t>50 Back</t>
        </is>
      </c>
      <c r="D36" s="291" t="n">
        <v>0.0004355324074074074</v>
      </c>
      <c r="E36" s="269" t="n">
        <v>0.0004482638888888888</v>
      </c>
      <c r="F36" s="269" t="n">
        <v>0.0004778935185185185</v>
      </c>
      <c r="G36" s="270" t="inlineStr">
        <is>
          <t>Q</t>
        </is>
      </c>
      <c r="H36" s="271" t="inlineStr">
        <is>
          <t>✓</t>
        </is>
      </c>
      <c r="I36" s="264" t="n">
        <v>0.0004144675925925926</v>
      </c>
      <c r="J36" s="264" t="n">
        <v>0.0004351851851851852</v>
      </c>
      <c r="K36" s="279" t="inlineStr">
        <is>
          <t>—</t>
        </is>
      </c>
      <c r="L36" s="265" t="inlineStr">
        <is>
          <t>+0.03s</t>
        </is>
      </c>
    </row>
    <row r="37">
      <c r="B37" s="289" t="inlineStr">
        <is>
          <t>L</t>
        </is>
      </c>
      <c r="C37" s="290" t="inlineStr">
        <is>
          <t>100 Back</t>
        </is>
      </c>
      <c r="D37" s="291" t="n">
        <v>0.0009635416666666667</v>
      </c>
      <c r="E37" s="269" t="n">
        <v>0.000982638888888889</v>
      </c>
      <c r="F37" s="269" t="n">
        <v>0.001040509259259259</v>
      </c>
      <c r="G37" s="270" t="inlineStr">
        <is>
          <t>Q</t>
        </is>
      </c>
      <c r="H37" s="271" t="inlineStr">
        <is>
          <t>✓</t>
        </is>
      </c>
      <c r="I37" s="264" t="n">
        <v>0.0008928240740740741</v>
      </c>
      <c r="J37" s="264" t="n">
        <v>0.0009375</v>
      </c>
      <c r="K37" s="279" t="inlineStr">
        <is>
          <t>—</t>
        </is>
      </c>
      <c r="L37" s="265" t="inlineStr">
        <is>
          <t>+2.25s</t>
        </is>
      </c>
    </row>
    <row r="38">
      <c r="B38" s="289" t="inlineStr">
        <is>
          <t>L</t>
        </is>
      </c>
      <c r="C38" s="290" t="inlineStr">
        <is>
          <t>200 Back</t>
        </is>
      </c>
      <c r="D38" s="291" t="n">
        <v>0.002053472222222222</v>
      </c>
      <c r="E38" s="269" t="n">
        <v>0.002116898148148148</v>
      </c>
      <c r="F38" s="269" t="n">
        <v>0.00221875</v>
      </c>
      <c r="G38" s="270" t="inlineStr">
        <is>
          <t>Q</t>
        </is>
      </c>
      <c r="H38" s="271" t="inlineStr">
        <is>
          <t>✓</t>
        </is>
      </c>
      <c r="I38" s="264" t="n">
        <v>0.001889351851851852</v>
      </c>
      <c r="J38" s="264" t="n">
        <v>0.001983796296296296</v>
      </c>
      <c r="K38" s="279" t="inlineStr">
        <is>
          <t>—</t>
        </is>
      </c>
      <c r="L38" s="265" t="inlineStr">
        <is>
          <t>+6.02s</t>
        </is>
      </c>
    </row>
    <row r="39">
      <c r="B39" s="258" t="inlineStr">
        <is>
          <t>L</t>
        </is>
      </c>
      <c r="C39" s="259" t="inlineStr">
        <is>
          <t>50 Breast</t>
        </is>
      </c>
      <c r="D39" s="260" t="n">
        <v>0.0006391203703703704</v>
      </c>
      <c r="E39" s="264" t="n">
        <v>0.0005018518518518519</v>
      </c>
      <c r="F39" s="264" t="n">
        <v>0.0005436342592592592</v>
      </c>
      <c r="G39" s="279" t="inlineStr">
        <is>
          <t>+8.25s</t>
        </is>
      </c>
      <c r="H39" s="265" t="inlineStr">
        <is>
          <t>+8.25s</t>
        </is>
      </c>
      <c r="I39" s="264" t="n">
        <v>0.0004673611111111112</v>
      </c>
      <c r="J39" s="264" t="n">
        <v>0.0004907407407407407</v>
      </c>
      <c r="K39" s="279" t="inlineStr">
        <is>
          <t>—</t>
        </is>
      </c>
      <c r="L39" s="265" t="inlineStr">
        <is>
          <t>+12.82s</t>
        </is>
      </c>
    </row>
    <row r="40">
      <c r="B40" s="258" t="inlineStr">
        <is>
          <t>L</t>
        </is>
      </c>
      <c r="C40" s="259" t="inlineStr">
        <is>
          <t>100 Breast</t>
        </is>
      </c>
      <c r="D40" s="260" t="inlineStr">
        <is>
          <t>-</t>
        </is>
      </c>
      <c r="E40" s="264" t="n">
        <v>0.00112037037037037</v>
      </c>
      <c r="F40" s="264" t="n">
        <v>0.001197916666666667</v>
      </c>
      <c r="G40" s="279" t="inlineStr">
        <is>
          <t>—</t>
        </is>
      </c>
      <c r="H40" s="265" t="inlineStr">
        <is>
          <t>—</t>
        </is>
      </c>
      <c r="I40" s="264" t="n">
        <v>0.001039467592592593</v>
      </c>
      <c r="J40" s="264" t="n">
        <v>0.001091435185185185</v>
      </c>
      <c r="K40" s="279" t="inlineStr">
        <is>
          <t>—</t>
        </is>
      </c>
      <c r="L40" s="265" t="inlineStr">
        <is>
          <t>—</t>
        </is>
      </c>
    </row>
    <row r="41">
      <c r="B41" s="258" t="inlineStr">
        <is>
          <t>L</t>
        </is>
      </c>
      <c r="C41" s="259" t="inlineStr">
        <is>
          <t>200 Breast</t>
        </is>
      </c>
      <c r="D41" s="260" t="inlineStr">
        <is>
          <t>-</t>
        </is>
      </c>
      <c r="E41" s="264" t="n">
        <v>0.002413194444444444</v>
      </c>
      <c r="F41" s="264" t="n">
        <v>0.002569444444444445</v>
      </c>
      <c r="G41" s="279" t="inlineStr">
        <is>
          <t>—</t>
        </is>
      </c>
      <c r="H41" s="265" t="inlineStr">
        <is>
          <t>—</t>
        </is>
      </c>
      <c r="I41" s="264" t="n">
        <v>0.002220023148148148</v>
      </c>
      <c r="J41" s="264" t="n">
        <v>0.002331018518518519</v>
      </c>
      <c r="K41" s="279" t="inlineStr">
        <is>
          <t>—</t>
        </is>
      </c>
      <c r="L41" s="265" t="inlineStr">
        <is>
          <t>—</t>
        </is>
      </c>
    </row>
    <row r="42">
      <c r="B42" s="289" t="inlineStr">
        <is>
          <t>L</t>
        </is>
      </c>
      <c r="C42" s="290" t="inlineStr">
        <is>
          <t>50 Fly</t>
        </is>
      </c>
      <c r="D42" s="291" t="n">
        <v>0.0004146990740740741</v>
      </c>
      <c r="E42" s="269" t="n">
        <v>0.0004241898148148148</v>
      </c>
      <c r="F42" s="269" t="n">
        <v>0.0004715277777777778</v>
      </c>
      <c r="G42" s="270" t="inlineStr">
        <is>
          <t>Q</t>
        </is>
      </c>
      <c r="H42" s="271" t="inlineStr">
        <is>
          <t>✓</t>
        </is>
      </c>
      <c r="I42" s="264" t="n">
        <v>0.0003946759259259259</v>
      </c>
      <c r="J42" s="264" t="n">
        <v>0.0004143518518518518</v>
      </c>
      <c r="K42" s="279" t="inlineStr">
        <is>
          <t>—</t>
        </is>
      </c>
      <c r="L42" s="265" t="inlineStr">
        <is>
          <t>+0.03s</t>
        </is>
      </c>
    </row>
    <row r="43">
      <c r="B43" s="289" t="inlineStr">
        <is>
          <t>L</t>
        </is>
      </c>
      <c r="C43" s="290" t="inlineStr">
        <is>
          <t>100 Fly</t>
        </is>
      </c>
      <c r="D43" s="291" t="n">
        <v>0.0009780092592592592</v>
      </c>
      <c r="E43" s="269" t="n">
        <v>0.001012731481481481</v>
      </c>
      <c r="F43" s="269" t="n">
        <v>0.001162037037037037</v>
      </c>
      <c r="G43" s="270" t="inlineStr">
        <is>
          <t>Q</t>
        </is>
      </c>
      <c r="H43" s="271" t="inlineStr">
        <is>
          <t>✓</t>
        </is>
      </c>
      <c r="I43" s="264" t="n">
        <v>0.0009071759259259259</v>
      </c>
      <c r="J43" s="264" t="n">
        <v>0.0009525462962962963</v>
      </c>
      <c r="K43" s="279" t="inlineStr">
        <is>
          <t>—</t>
        </is>
      </c>
      <c r="L43" s="265" t="inlineStr">
        <is>
          <t>+2.20s</t>
        </is>
      </c>
    </row>
    <row r="44">
      <c r="B44" s="289" t="inlineStr">
        <is>
          <t>L</t>
        </is>
      </c>
      <c r="C44" s="290" t="inlineStr">
        <is>
          <t>200 Fly</t>
        </is>
      </c>
      <c r="D44" s="291" t="n">
        <v>0.002275462962962963</v>
      </c>
      <c r="E44" s="269" t="n">
        <v>0.002619212962962963</v>
      </c>
      <c r="F44" s="269" t="n">
        <v>0.003076388888888889</v>
      </c>
      <c r="G44" s="270" t="inlineStr">
        <is>
          <t>Q</t>
        </is>
      </c>
      <c r="H44" s="271" t="inlineStr">
        <is>
          <t>✓</t>
        </is>
      </c>
      <c r="I44" s="264" t="n">
        <v>0.002119675925925926</v>
      </c>
      <c r="J44" s="264" t="n">
        <v>0.002225694444444445</v>
      </c>
      <c r="K44" s="279" t="inlineStr">
        <is>
          <t>—</t>
        </is>
      </c>
      <c r="L44" s="265" t="inlineStr">
        <is>
          <t>+4.30s</t>
        </is>
      </c>
    </row>
    <row r="45">
      <c r="B45" s="286" t="inlineStr">
        <is>
          <t>L</t>
        </is>
      </c>
      <c r="C45" s="287" t="inlineStr">
        <is>
          <t>200 IM</t>
        </is>
      </c>
      <c r="D45" s="288" t="n">
        <v>0.002169907407407407</v>
      </c>
      <c r="E45" s="266" t="n">
        <v>0.002101851851851852</v>
      </c>
      <c r="F45" s="266" t="n">
        <v>0.002234953703703704</v>
      </c>
      <c r="G45" s="267" t="inlineStr">
        <is>
          <t>C</t>
        </is>
      </c>
      <c r="H45" s="268" t="inlineStr">
        <is>
          <t>✓</t>
        </is>
      </c>
      <c r="I45" s="264" t="n">
        <v>0.001906944444444444</v>
      </c>
      <c r="J45" s="264" t="n">
        <v>0.002002314814814815</v>
      </c>
      <c r="K45" s="279" t="inlineStr">
        <is>
          <t>—</t>
        </is>
      </c>
      <c r="L45" s="265" t="inlineStr">
        <is>
          <t>+14.48s</t>
        </is>
      </c>
    </row>
  </sheetData>
  <mergeCells count="3">
    <mergeCell ref="B2:L2"/>
    <mergeCell ref="B11:L11"/>
    <mergeCell ref="B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Mandikos, James</dc:creator>
  <dcterms:created xsi:type="dcterms:W3CDTF">2024-03-04T08:00:50Z</dcterms:created>
  <dcterms:modified xsi:type="dcterms:W3CDTF">2026-06-24T16:29:00Z</dcterms:modified>
  <cp:lastModifiedBy>James Mandikos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a60d57e-af5b-4752-ac57-3e4f28ca11dc_Enabled" fmtid="{D5CDD505-2E9C-101B-9397-08002B2CF9AE}" pid="2">
    <vt:lpwstr>true</vt:lpwstr>
  </property>
  <property name="MSIP_Label_ea60d57e-af5b-4752-ac57-3e4f28ca11dc_SetDate" fmtid="{D5CDD505-2E9C-101B-9397-08002B2CF9AE}" pid="3">
    <vt:lpwstr>2024-03-04T12:07:03Z</vt:lpwstr>
  </property>
  <property name="MSIP_Label_ea60d57e-af5b-4752-ac57-3e4f28ca11dc_Method" fmtid="{D5CDD505-2E9C-101B-9397-08002B2CF9AE}" pid="4">
    <vt:lpwstr>Standard</vt:lpwstr>
  </property>
  <property name="MSIP_Label_ea60d57e-af5b-4752-ac57-3e4f28ca11dc_Name" fmtid="{D5CDD505-2E9C-101B-9397-08002B2CF9AE}" pid="5">
    <vt:lpwstr>ea60d57e-af5b-4752-ac57-3e4f28ca11dc</vt:lpwstr>
  </property>
  <property name="MSIP_Label_ea60d57e-af5b-4752-ac57-3e4f28ca11dc_SiteId" fmtid="{D5CDD505-2E9C-101B-9397-08002B2CF9AE}" pid="6">
    <vt:lpwstr>36da45f1-dd2c-4d1f-af13-5abe46b99921</vt:lpwstr>
  </property>
  <property name="MSIP_Label_ea60d57e-af5b-4752-ac57-3e4f28ca11dc_ActionId" fmtid="{D5CDD505-2E9C-101B-9397-08002B2CF9AE}" pid="7">
    <vt:lpwstr>efaa6e10-fad7-44c1-9edd-e92a71cf69df</vt:lpwstr>
  </property>
  <property name="MSIP_Label_ea60d57e-af5b-4752-ac57-3e4f28ca11dc_ContentBits" fmtid="{D5CDD505-2E9C-101B-9397-08002B2CF9AE}" pid="8">
    <vt:lpwstr>0</vt:lpwstr>
  </property>
</Properties>
</file>